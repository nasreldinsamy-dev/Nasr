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E:\AOC estimation work\razzen\RE__Fwd__ALSEEF_BOQ_Building_B\RE_ Fwd_ ALSEEF BOQ Building B\"/>
    </mc:Choice>
  </mc:AlternateContent>
  <xr:revisionPtr revIDLastSave="0" documentId="8_{0BB2AC38-2D68-C543-9FF0-9C589DC47C2E}" xr6:coauthVersionLast="47" xr6:coauthVersionMax="47" xr10:uidLastSave="{00000000-0000-0000-0000-000000000000}"/>
  <bookViews>
    <workbookView xWindow="-120" yWindow="-120" windowWidth="29040" windowHeight="15720" activeTab="5" xr2:uid="{4AD4665E-9280-46F6-AE50-BCE85A241260}"/>
  </bookViews>
  <sheets>
    <sheet name="Div.1.B" sheetId="1" r:id="rId1"/>
    <sheet name="Div.2.B" sheetId="2" r:id="rId2"/>
    <sheet name="Div.3.B" sheetId="3" r:id="rId3"/>
    <sheet name="Div.4.B" sheetId="4" r:id="rId4"/>
    <sheet name="Div.5.B" sheetId="5" r:id="rId5"/>
    <sheet name="Div.6.B" sheetId="6" r:id="rId6"/>
    <sheet name="Div.7.B" sheetId="7" r:id="rId7"/>
    <sheet name="Div.8.B" sheetId="8" r:id="rId8"/>
    <sheet name="Div.9.B" sheetId="9" r:id="rId9"/>
    <sheet name="Div.10.B" sheetId="10" r:id="rId10"/>
    <sheet name="SUMMARY" sheetId="11" r:id="rId11"/>
  </sheets>
  <definedNames>
    <definedName name="_Order1" hidden="1">255</definedName>
    <definedName name="AA">#REF!</definedName>
    <definedName name="ac">#REF!</definedName>
    <definedName name="acc">#REF!</definedName>
    <definedName name="ALAA">#REF!</definedName>
    <definedName name="bw">#REF!</definedName>
    <definedName name="car">#REF!</definedName>
    <definedName name="concrete">#REF!</definedName>
    <definedName name="COVER">#REF!</definedName>
    <definedName name="D">#REF!</definedName>
    <definedName name="DDD">#REF!</definedName>
    <definedName name="elec">#REF!</definedName>
    <definedName name="excavation">#REF!</definedName>
    <definedName name="fgfbnbfgh">#REF!</definedName>
    <definedName name="finish">#REF!</definedName>
    <definedName name="KING">#REF!</definedName>
    <definedName name="masonary">#REF!</definedName>
    <definedName name="metal">#REF!</definedName>
    <definedName name="plm">#REF!</definedName>
    <definedName name="PR">#REF!</definedName>
    <definedName name="_xlnm.Print_Area" localSheetId="0">'Div.1.B'!$A$1:$G$25</definedName>
    <definedName name="_xlnm.Print_Area" localSheetId="9">'Div.10.B'!$A$1:$G$21</definedName>
    <definedName name="_xlnm.Print_Area" localSheetId="1">'Div.2.B'!$A$1:$G$42</definedName>
    <definedName name="_xlnm.Print_Area" localSheetId="2">'Div.3.B'!$A$1:$G$27</definedName>
    <definedName name="_xlnm.Print_Area" localSheetId="3">'Div.4.B'!$A$1:$G$33</definedName>
    <definedName name="_xlnm.Print_Area" localSheetId="4">'Div.5.B'!$A$1:$G$30</definedName>
    <definedName name="_xlnm.Print_Area" localSheetId="5">'Div.6.B'!$A$1:$G$29</definedName>
    <definedName name="_xlnm.Print_Area" localSheetId="6">'Div.7.B'!$A$1:$G$135</definedName>
    <definedName name="_xlnm.Print_Area" localSheetId="7">'Div.8.B'!$A$1:$G$239</definedName>
    <definedName name="_xlnm.Print_Area" localSheetId="8">'Div.9.B'!$A$1:$G$143</definedName>
    <definedName name="_xlnm.Print_Area" localSheetId="10">SUMMARY!$A$1:$G$29</definedName>
    <definedName name="_xlnm.Print_Titles" localSheetId="6">'Div.7.B'!$1:$6</definedName>
    <definedName name="_xlnm.Print_Titles" localSheetId="7">'Div.8.B'!$1:$6</definedName>
    <definedName name="_xlnm.Print_Titles" localSheetId="8">'Div.9.B'!$1:$6</definedName>
    <definedName name="_xlnm.Print_Titles" localSheetId="10">SUMMARY!$1:$7</definedName>
    <definedName name="RE">#REF!</definedName>
    <definedName name="roof">#REF!</definedName>
    <definedName name="sb">#REF!</definedName>
    <definedName name="soil">#REF!</definedName>
    <definedName name="YT">#REF!</definedName>
    <definedName name="Z_A96B7593_BD8C_4E03_BB74_0B9C4710A264_.wvu.Cols" localSheetId="6" hidden="1">'Div.7.B'!#REF!</definedName>
    <definedName name="Z_A96B7593_BD8C_4E03_BB74_0B9C4710A264_.wvu.Cols" localSheetId="7" hidden="1">'Div.8.B'!#REF!</definedName>
    <definedName name="Z_A96B7593_BD8C_4E03_BB74_0B9C4710A264_.wvu.Cols" localSheetId="8" hidden="1">'Div.9.B'!#REF!</definedName>
    <definedName name="Z_A96B7593_BD8C_4E03_BB74_0B9C4710A264_.wvu.PrintArea" localSheetId="6" hidden="1">'Div.7.B'!$A$1:$G$135</definedName>
    <definedName name="Z_A96B7593_BD8C_4E03_BB74_0B9C4710A264_.wvu.PrintArea" localSheetId="7" hidden="1">'Div.8.B'!$A$1:$G$283</definedName>
    <definedName name="Z_A96B7593_BD8C_4E03_BB74_0B9C4710A264_.wvu.PrintArea" localSheetId="8" hidden="1">'Div.9.B'!$A$1:$G$187</definedName>
    <definedName name="Z_A96B7593_BD8C_4E03_BB74_0B9C4710A264_.wvu.PrintTitles" localSheetId="6" hidden="1">'Div.7.B'!$A$1:$IV$6</definedName>
    <definedName name="Z_A96B7593_BD8C_4E03_BB74_0B9C4710A264_.wvu.PrintTitles" localSheetId="7" hidden="1">'Div.8.B'!$A$1:$IV$6</definedName>
    <definedName name="Z_A96B7593_BD8C_4E03_BB74_0B9C4710A264_.wvu.PrintTitles" localSheetId="8" hidden="1">'Div.9.B'!$A$1:$IV$6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<sst xmlns="http://schemas.openxmlformats.org/spreadsheetml/2006/main" count="1032" uniqueCount="623">
  <si>
    <t>Project:</t>
  </si>
  <si>
    <t>Commercial building</t>
  </si>
  <si>
    <t>Location:</t>
  </si>
  <si>
    <t>Al-DAMMAM , KSA</t>
  </si>
  <si>
    <t>Owner:</t>
  </si>
  <si>
    <t>Subject:</t>
  </si>
  <si>
    <t>Division 1A - EARTHWORKS</t>
  </si>
  <si>
    <t>DIV. #</t>
  </si>
  <si>
    <t>Description</t>
  </si>
  <si>
    <t>Unit</t>
  </si>
  <si>
    <t>Qty.</t>
  </si>
  <si>
    <t>Unit Price</t>
  </si>
  <si>
    <t>Total</t>
  </si>
  <si>
    <t>EARTHWORKS</t>
  </si>
  <si>
    <t>Preambles</t>
  </si>
  <si>
    <t>Rates and prices in this BOQ shall be deemed to include all costs necessary for the execution of the Works  which includes but not limited to the following</t>
  </si>
  <si>
    <t>1. Cost of temporary and permanent works
2. All direct costs including labour, plant, materials, sub contractors, and the like
3. All indirect costs and preliminaries including Contractor's accomodations، offices, indirect labour, project sign board and equipment, superintendents and supervision staff, cost of bonds and insurances,waste containers.
4. Contractor's overheads and profit margins.
5. Coordination with other contractors and handing over the site to them.
6. Site security fencing and the like
7. All engineering works including design of  shop drawings,material and other submittals in compliance with the specifications.
8. Compliance with all other requirements as per the Contract Documents.</t>
  </si>
  <si>
    <t>Excavation</t>
  </si>
  <si>
    <r>
      <t>Bulk Excavation in all type of soil (except rock) according to the substructure system limit indicated on the approved design drawings and in accordance to specifications and provided Geo-technical report, according to "Soil Report Ref. GT 1839-3339-24" Works also shall include the disposal of any surplus excavated materials off site subjected to the engineer instructions/</t>
    </r>
    <r>
      <rPr>
        <sz val="12"/>
        <color rgb="FFFF0000"/>
        <rFont val="Times New Roman"/>
        <family val="1"/>
      </rPr>
      <t>contractor is responsible for submitting  a compaction test report with minimum compaction of 95%.</t>
    </r>
  </si>
  <si>
    <t>1.1.1</t>
  </si>
  <si>
    <t>Excavation (site leveling &amp; waste removal )</t>
  </si>
  <si>
    <t>M3</t>
  </si>
  <si>
    <t>Backfilling
-Around the tank and above footing up to bottom of basecoarse layer below sidewalk
-Using  natural  clean  sand (A-1 accoring to AASHTO) according  to specifications
-Compaction  on layers, 30 cm for each. Until reach to  95%  relative compation from maximum dry density for each layer. as  per specifications by heavy roller - 15 ton min.
-Item includes compaction test as per specefications.</t>
  </si>
  <si>
    <t>Backfill and soil replacement according to "Soil Report Ref. 3891".  density all as per soil report and specifications.</t>
  </si>
  <si>
    <t>1.2.1</t>
  </si>
  <si>
    <r>
      <t>Backfilling under footing (</t>
    </r>
    <r>
      <rPr>
        <b/>
        <sz val="11"/>
        <rFont val="Times New Roman"/>
        <family val="1"/>
      </rPr>
      <t>Soil Replacment</t>
    </r>
    <r>
      <rPr>
        <sz val="11"/>
        <rFont val="Times New Roman"/>
        <family val="1"/>
      </rPr>
      <t>) Backfilling for site (A-1 accoring to AASHTO) according  to specifications according to site levels combantion test 95% every 30 cm with all neccecry works and as per soil test</t>
    </r>
  </si>
  <si>
    <t>1.2.2</t>
  </si>
  <si>
    <t>Backfilling Inbetween Footing 
&amp; Grade Beam (sand) &amp; SITE</t>
  </si>
  <si>
    <t>1.2.3</t>
  </si>
  <si>
    <t>Compacted subbase layer, 20 cm thick, under slab-on-grade for all shops, sales areas &amp; service areas (A1B) – for site.</t>
  </si>
  <si>
    <t>TOTAL COST FOR DIVISION 1A: EARHTWORKS (To Summary)</t>
  </si>
  <si>
    <t>Division 2A - CIVILWORKS</t>
  </si>
  <si>
    <t>CIVIL WORKS</t>
  </si>
  <si>
    <t xml:space="preserve"> Concrete</t>
  </si>
  <si>
    <r>
      <t>The contractor is referred to the specifications and drawings for all details related to the works and he is to include but not limited to for complying with all the requirements contained therein, whether or not they are specifically mentioned within the items. All Tender documents (Drawings, Bill of quantities, Specifications) are integrated documents and complete each other. Workshop drawings and frames for approval before supply and installation.</t>
    </r>
    <r>
      <rPr>
        <sz val="14"/>
        <color rgb="FFFF0000"/>
        <rFont val="Arial Narrow"/>
        <family val="2"/>
      </rPr>
      <t>contractor must submit concrete test report.</t>
    </r>
  </si>
  <si>
    <t>Concrete</t>
  </si>
  <si>
    <t>Plain Concrete Under Footing (2500 KG/CM2), Type (V)</t>
  </si>
  <si>
    <t>Footing Reinforced Concrete (4500 KG/CM2), Type (V)</t>
  </si>
  <si>
    <t>Pedestal (Height 1.00 m) (4500 KG/CM2), Type (V)</t>
  </si>
  <si>
    <t>Plain Concrete Under Grade Beam (3000 KG/CM2), Type (V)</t>
  </si>
  <si>
    <t>Grade Beam (4500 KG/CM2), Type (V)</t>
  </si>
  <si>
    <t>Slab On Grade (3000 KG/CM2), Type (I)</t>
  </si>
  <si>
    <t>Bond Beam &amp; Slab (3000 KG/CM2), Type (I)</t>
  </si>
  <si>
    <t>WATER TANKS Footing Reinforced Concrete (4500 KG/CM2), Type (V)</t>
  </si>
  <si>
    <t>WATER TANKS Walls Reinforced Concrete (4500 KG/CM2), Type (V)</t>
  </si>
  <si>
    <t>WATER TANKS Roof Reinforced Concrete (4500 KG/CM2), Type (V)</t>
  </si>
  <si>
    <t>Protection Screed, 50mm thick, , Type (I) as per Drawings and Specification</t>
  </si>
  <si>
    <t>M2</t>
  </si>
  <si>
    <t>Plain concrete for site (2500 KG/CM2), Type (V)</t>
  </si>
  <si>
    <t>TOTAL COST FOR DIVISION 2A: CIVILWORKS (To Summary)</t>
  </si>
  <si>
    <t>Division 3A -MASONRYWORKS</t>
  </si>
  <si>
    <t>MASONRY</t>
  </si>
  <si>
    <t>Concrete blocks bedded and jointed in cement sand mortar (1:3), including all necessary lintel beams, stiffener columns and reinforcement steel bars, solid block at jambs and all necessary ties, complete as shown on drawings.</t>
  </si>
  <si>
    <t>200 mm thick walls   ConcreteBlock for pumprooms-site rooms walls</t>
  </si>
  <si>
    <t>total pcs=2838</t>
  </si>
  <si>
    <t>300 mm thick walls  insulated ConcreteBlock for exterior walls</t>
  </si>
  <si>
    <t>building c&amp;d =1120m2-14000 pcs building E=1558m2-19470 pcs</t>
  </si>
  <si>
    <t>total pcs=33,475</t>
  </si>
  <si>
    <t>TOTAL COST FOR DIVISION 3A: MASONRYWORKS (To Summary)</t>
  </si>
  <si>
    <t>Division 4A - ARCHWORKS</t>
  </si>
  <si>
    <t>ARCHITECTURAL WORKS</t>
  </si>
  <si>
    <t>CONTRACTOR SHALL PROVIDE MATERIAL SAMPLES FOR ALL ITEM WITH SPECS FOR APPROVAL FROM OWNER &amp; CONSULTANT</t>
  </si>
  <si>
    <t>FLOORING WORKS</t>
  </si>
  <si>
    <t>4.1.1</t>
  </si>
  <si>
    <t>SUPPLY AND APPLY 2 MM THICK SELF-LEVELING EPOXY FLOORING SYSTEM (SIKA, FOSROC, OR APPROVED EQUIVALENT) FOR PUMP ROOMS, INCLUDING SURFACE PREPARATION BY MECHANICAL GRINDING, APPLICATION OF EPOXY PRIMER, SELF-LEVELING EPOXY COAT, AND FINAL SEALING COAT. COMPLETE IN ALL RESPECTS AS PER MANUFACTURER’S SPECIFICATIONS AND SITE REQUIREMENTS.</t>
  </si>
  <si>
    <t>Sq.M</t>
  </si>
  <si>
    <t>4.1.2</t>
  </si>
  <si>
    <t>SUPPLY &amp; INSTALL GRAVEL BACKFILLING FOR SCECO ROOMS</t>
  </si>
  <si>
    <t>4.1.3</t>
  </si>
  <si>
    <t>4.1.4</t>
  </si>
  <si>
    <t>4.1.5</t>
  </si>
  <si>
    <t>SUPPLY &amp; INSTALL CONRETE CURB STONE (300*150*500) FOR PAVEMENT SIDE WALKS</t>
  </si>
  <si>
    <t>L.M</t>
  </si>
  <si>
    <t>4.1.6</t>
  </si>
  <si>
    <t>SUPPLY &amp; INTALL INTERLOCK FLOORING 20*10*6 CM FOR CAR PARKING &amp; PAVING AREAS INCLUDING COMPACTED SUBBASE LAYER, 20 CM THICK, UNDER ALL INTERLOCK AREAS (A1B) - FOR SITE. THE WORKS INCLUDE ALL NECESSARY WORKS TO COMPLETE.</t>
  </si>
  <si>
    <t>4.1.7</t>
  </si>
  <si>
    <t>SUPPLY &amp; INTALL INTERLOCK FLOORING 20*10*8 CM FOR CAR PARKING &amp; PAVING AREAS INCLUDING COMPACTED SUBBASE LAYER, 20 CM THICK, UNDER ALL INTERLOCK AREAS (A1B) - FOR SITE. THE WORKS INCLUDE ALL NECESSARY WORKS TO COMPLETE.</t>
  </si>
  <si>
    <t>4.1.8</t>
  </si>
  <si>
    <t>SUPPLY &amp; INSTALL PORCLIEN FLOORING 600*600*11 FOR SERVICE ROOMS INDIAN ORIGIN</t>
  </si>
  <si>
    <t>4.1.9</t>
  </si>
  <si>
    <t>SUPPLY &amp; INSTALL PORCLIEN SKIRTING 600*100*11 FOR SERVICE ROOMS INDIAN ORIGIN</t>
  </si>
  <si>
    <t>4.2.1</t>
  </si>
  <si>
    <t>4.2.2</t>
  </si>
  <si>
    <r>
      <rPr>
        <b/>
        <sz val="12"/>
        <color rgb="FF000000"/>
        <rFont val="Times New Roman"/>
        <family val="1"/>
      </rPr>
      <t>PAINTING FOR OUTDOOR WALLS (RAL 9001)</t>
    </r>
    <r>
      <rPr>
        <sz val="12"/>
        <color indexed="8"/>
        <rFont val="Times New Roman"/>
        <family val="1"/>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</si>
  <si>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4.2.3</t>
  </si>
  <si>
    <r>
      <rPr>
        <b/>
        <sz val="12"/>
        <color rgb="FF000000"/>
        <rFont val="Times New Roman"/>
        <family val="1"/>
      </rPr>
      <t>PAINTING FOR OUTDOOR WALLS (RAL1011)</t>
    </r>
    <r>
      <rPr>
        <sz val="12"/>
        <color indexed="8"/>
        <rFont val="Times New Roman"/>
        <family val="1"/>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</si>
  <si>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TOTAL COST FOR DIVISION 4A: ARCHWORKS (To Summary)</t>
  </si>
  <si>
    <t>Division 5A - THERMALWORKS</t>
  </si>
  <si>
    <t xml:space="preserve">THERMAL AND MOISTURE PROTECTION </t>
  </si>
  <si>
    <t>The Contractor is referred to the specifications and drawings for all details related to the works of this division and he is to include but not limited to for complying with all the requirements contained therein, whether or ont they are specifically mentioned within the item. Scope of work will be: shop drawings issuem systems supply, installation and testing. All Tender documents( Drawings, Bill of quantities, Specifications) are integrated documents and complete each other.</t>
  </si>
  <si>
    <t>Waterproofing liquid membranes for all concrete foundations, Mechanical/Chemical Bonded
(Fosroc/Grace) Water proofing system, as per Drawings and Specification</t>
  </si>
  <si>
    <t>For Raft, Lift Pit &amp; Retainging Wall</t>
  </si>
  <si>
    <t>LS</t>
  </si>
  <si>
    <t>External faces of Raft, Lift Pit &amp; Retaining walls</t>
  </si>
  <si>
    <t>For Raft &amp; Lift Pit</t>
  </si>
  <si>
    <t>Polythene sheet, 400 gauge, under blinding</t>
  </si>
  <si>
    <t>Horizontally laid under blinding</t>
  </si>
  <si>
    <r>
      <t xml:space="preserve">Supply and apply bituminous waterproofing materials for roofs and foundations of electrical rooms and pump-site rooms.
Materials must be submitted for approval before execution.
</t>
    </r>
    <r>
      <rPr>
        <sz val="8"/>
        <rFont val="Times New Roman"/>
        <family val="1"/>
      </rPr>
      <t xml:space="preserve">
</t>
    </r>
    <r>
      <rPr>
        <sz val="12"/>
        <rFont val="Times New Roman"/>
        <family val="1"/>
      </rPr>
      <t>Work includes:
-Apply 1 coat of primer.
-Apply 2 coats of bituminous layer.
-Install 2 layers of 4mm membrane with 10 cm overlaps.
-Include skirting 30 cm all around.</t>
    </r>
  </si>
  <si>
    <t>Waterproofing of Water Tanks (internal and external)
Scope of Work:
Waterproofing of water tanks to prevent leakage and protect the concrete. Includes the following steps:
External Waterproofing:
Build a solid masonry wall (20×20×40 cm blocks) around the tank (from the outside).
Apply 2 coats of bitumen (primer not needed since 2 coats are specified).
Install 2 layers of 4mm bituminous membrane with 10 cm overlaps (Membrane).
Apply a protective layer over the membrane to safeguard it during backfilling and other construction works.
Internal Waterproofing (after concrete works):
Prepare and clean the concrete surface thoroughly from dust and debris.
Apply tank-grade epoxy internal waterproofing with 1 mm thickness.
Ensure full coverage of all surfaces and corners.
Notes:
All materials must be submitted for approval before execution.
Includes all ancillary works such as surface preparation, membrane protection, and quality assurance of application.</t>
  </si>
  <si>
    <t>INSULATION FOR SANDWICH PANELROOF FLOORS 10CM (FOAM)</t>
  </si>
  <si>
    <t>contractor responsible for making all neccessery water tests to prevent any possible leakage</t>
  </si>
  <si>
    <t>TOTAL COST FOR DIVISION 5A: THERMALWORKS (To Summary)</t>
  </si>
  <si>
    <t>Division 6A - GLASSWORKS</t>
  </si>
  <si>
    <t>DOORS &amp; WINDOWS</t>
  </si>
  <si>
    <t xml:space="preserve">ALL DOORS AND ALUMINIUM (RALL1001) ARE FRAMLESS WITH U CHANEL FRAMES CONTRACTOR SUBMIT SAMBLES AND SHOPDRAWING OF GLASS AND ACCESSORIES </t>
  </si>
  <si>
    <t>DOORS</t>
  </si>
  <si>
    <t>BUILDING C-D-E</t>
  </si>
  <si>
    <t>NO.</t>
  </si>
  <si>
    <t>TOTAL COST FOR DIVISION 6A: GLASSWORKS (To Summary)</t>
  </si>
  <si>
    <t>Division A7 - Plumbing</t>
  </si>
  <si>
    <t>7A</t>
  </si>
  <si>
    <t>Supply, install and test of complete plumbing accessories, pipes &amp; fittings, excavation, backfilling, isolation, valves and other related works to have satisfactory operation of  the  whole  system.</t>
  </si>
  <si>
    <t>Note:All plumbing materials and equipments  tobe submitted for approval prior to installation.</t>
  </si>
  <si>
    <t>A</t>
  </si>
  <si>
    <t>SANITARY FIXTURES  (AMERICAN STANDARD OR APPROVED     EQUAL)   &amp;      FITTINGS,   COMPLETEWITH   MIXER,  FLUSH    SYSTEM,     ISOLATION    VALVES    AND     ALL     REQUIRED    ACCESSORIES.</t>
  </si>
  <si>
    <t>Mirror Shelf</t>
  </si>
  <si>
    <t>Soap Holder</t>
  </si>
  <si>
    <t>Towel Rail</t>
  </si>
  <si>
    <t>Toilet  Paper  Holder</t>
  </si>
  <si>
    <t>Robe Hook</t>
  </si>
  <si>
    <t>Hand Dryer</t>
  </si>
  <si>
    <t>A.1</t>
  </si>
  <si>
    <t>Western water closet (WWC), complete with accessories, flush tank  type ,american style.</t>
  </si>
  <si>
    <t>NO</t>
  </si>
  <si>
    <t>A.2</t>
  </si>
  <si>
    <t xml:space="preserve">Lavatory vanity, Counter top, complete with accessories. </t>
  </si>
  <si>
    <t>A.3</t>
  </si>
  <si>
    <t xml:space="preserve">Lavatory vanity,  pedestal (LAV), complete with accessories. </t>
  </si>
  <si>
    <t>A.4</t>
  </si>
  <si>
    <t>Shower Tray with Mixer Faucet and Shower Head</t>
  </si>
  <si>
    <t>A.5</t>
  </si>
  <si>
    <t xml:space="preserve"> Mixer  for (LAV) </t>
  </si>
  <si>
    <t>B</t>
  </si>
  <si>
    <t>POTABLE AND HOT WATER EQUIPMENT AND ACCESSORIES.</t>
  </si>
  <si>
    <t>B.1</t>
  </si>
  <si>
    <t xml:space="preserve">Supply, install, connect and test central electric water heater (EWH) with 50 liters capacity </t>
  </si>
  <si>
    <t>B.2</t>
  </si>
  <si>
    <t>Water Hammer Arrester (1/2" Dia.) - Wattsor approved equal</t>
  </si>
  <si>
    <t>B.3</t>
  </si>
  <si>
    <t>Perennial Spray with Vacuum Breaker (1/2" Dia.) - Grohe or approved equal.</t>
  </si>
  <si>
    <t>C</t>
  </si>
  <si>
    <t>DOMESTIC WATER PIPING</t>
  </si>
  <si>
    <t>Supply and installation of pipe and fittings; CPVC Sch. 80; ASTM D1785; DOMESTIC WATER PIPING
including elbows  GATE valves, waterhammer  arrestor and connections…Amarflex Rubber insulation  ON HOT WATER LINES etc . (SAPPCO) or approved equal</t>
  </si>
  <si>
    <t>C.1</t>
  </si>
  <si>
    <t>76mm Ø CPVC pipe schedule 80</t>
  </si>
  <si>
    <t>LM</t>
  </si>
  <si>
    <t>C.2</t>
  </si>
  <si>
    <t>63mm  Ø CPVC pipe schedule 80</t>
  </si>
  <si>
    <t>C.3</t>
  </si>
  <si>
    <t>50mm Ø CPVC pipe schedule 80</t>
  </si>
  <si>
    <t>C.4</t>
  </si>
  <si>
    <t>25mm  Ø CPVC pipe schedule 80</t>
  </si>
  <si>
    <t>C.5</t>
  </si>
  <si>
    <t>Domestic water fiber glass tank 3 m3  insulated fiberglass  water tank with float switch interconnected to a booster pump at ROOF complete with valves, check valves, strainer as shown on the drawing.</t>
  </si>
  <si>
    <t>D.</t>
  </si>
  <si>
    <t>WATER PUMPS</t>
  </si>
  <si>
    <t>D.1</t>
  </si>
  <si>
    <t xml:space="preserve">Supply, install, connect, test and commission Transfer pump (TP-01) (TP-02)  complete including pumps, valves, control panel, spare parts, accessories and all ancillary work as specified and as shown on drawings.  set 1duty &amp; 1stand by ( per pump set ) , VFD controlled   at  PUMP ROOM.   (GRUNDFOS) or approved equal                                                                           </t>
  </si>
  <si>
    <t>D.2</t>
  </si>
  <si>
    <t>Supply, install, connect, test and commission BOOSTER  pump (PR-01),(PR-02),(PR-03),(PR-04),(PR-05),(PR-06)  complete including pumps, valves, control panel, spare parts, accessories and all ancillary work as specified and as shown on drawings. set 1duty   at upper roof.  (GRUNDFOS) or approved equal</t>
  </si>
  <si>
    <t>E</t>
  </si>
  <si>
    <t>SANITARY WASTE PIPING</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</si>
  <si>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excavation, backfilling, bedding shall be considered within the unit prices of pipes. (SAPPCO) or approved equal</t>
  </si>
  <si>
    <t>E.1</t>
  </si>
  <si>
    <t>160mm Ø PVC pipe, class 4</t>
  </si>
  <si>
    <t>E.2</t>
  </si>
  <si>
    <t>110mm Ø PVC pipe, class 4</t>
  </si>
  <si>
    <t>E.3</t>
  </si>
  <si>
    <t xml:space="preserve">75mm Ø PVC pipe, class 4  FOR HVAC SELVEE PIPES FROM SHOPS TO ROOF TOP </t>
  </si>
  <si>
    <t>E.4</t>
  </si>
  <si>
    <t xml:space="preserve">GROUND Clean Out : </t>
  </si>
  <si>
    <t xml:space="preserve">160mm Ø PVC </t>
  </si>
  <si>
    <t xml:space="preserve">110mm Ø PVC </t>
  </si>
  <si>
    <t>F</t>
  </si>
  <si>
    <t xml:space="preserve">TANKS AND Manhole </t>
  </si>
  <si>
    <t>F.1</t>
  </si>
  <si>
    <t xml:space="preserve">Sewer manhole with standard traffic type cast iron manhole cover and frame including foundation bed and associated earthworks </t>
  </si>
  <si>
    <t xml:space="preserve">Manholes with depth 0.80 m depth &amp; (0.60*0.60) m² internal daim.      </t>
  </si>
  <si>
    <t>F.2</t>
  </si>
  <si>
    <t>Supply &amp; Installation of COVER WATER TANKS as specified &amp; details drawings complete with the cast-iron cover heavy duty</t>
  </si>
  <si>
    <t>G</t>
  </si>
  <si>
    <t xml:space="preserve">  STORM DRAINAGE PIPING </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</si>
  <si>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shall be considered within the unit prices of pipes. (SAPPCO) or approved equal</t>
  </si>
  <si>
    <t>G.1</t>
  </si>
  <si>
    <t>160 mm Ø PVC Pipe and Fittings (PVC, Sch. 40, ASTM 2665)</t>
  </si>
  <si>
    <t>G.2</t>
  </si>
  <si>
    <t>110 mm Ø PVC Pipe and Fittings (PVC, Sch. 40, ASTM 2665)</t>
  </si>
  <si>
    <t>G.3</t>
  </si>
  <si>
    <t>Roof Drain 110mm Ø.   (Zurn) or approved equal</t>
  </si>
  <si>
    <t>G.4</t>
  </si>
  <si>
    <t xml:space="preserve"> Clean Out : </t>
  </si>
  <si>
    <t>H.1</t>
  </si>
  <si>
    <t>Supply, installation and testing of the following valves,required fittings with all necessary accessories as perapproved drawings and specifications.</t>
  </si>
  <si>
    <t>Gate Valve  (Manufacturer: NIBCO or approved equal).</t>
  </si>
  <si>
    <t>50MM Ø</t>
  </si>
  <si>
    <t>25MM Ø</t>
  </si>
  <si>
    <t>H.2</t>
  </si>
  <si>
    <t>WATER METERS FOR SHOPS  DOMESTIC WATER</t>
  </si>
  <si>
    <t>I</t>
  </si>
  <si>
    <t>IRRIGATION SYSTEM</t>
  </si>
  <si>
    <t xml:space="preserve"> supply and installation of irrigation system including ancillaries in accordance to architect's specifications and as required to make system operational.
Mainlines  ,Laterals ,and flow sensors, Backflow preventer ,Valves ,Sprinkler Heads ,Controllers , Waterproof splice kit  and Pumps; complete with driving motor and all necessary accessories and connections, electrical and control wirings, conduits and controlsIncluding trees, palm trees, agricultural properties, grass, ........etc</t>
  </si>
  <si>
    <t>LUM</t>
  </si>
  <si>
    <t>TOTAL COST FOR DIVISION 7A: PLUMBING (To Summary)</t>
  </si>
  <si>
    <t>Division A8 - Electrical</t>
  </si>
  <si>
    <t>DIVISION 16 - ELECTRICAL</t>
  </si>
  <si>
    <t xml:space="preserve">All the electrical works include related works which </t>
  </si>
  <si>
    <t>required to complete the work but not mentioned</t>
  </si>
  <si>
    <t xml:space="preserve">in here or not shown in drawings, such as  </t>
  </si>
  <si>
    <t xml:space="preserve">demolition, excavation, backfilling, concreting, </t>
  </si>
  <si>
    <t xml:space="preserve">drilling, labels of cables and panel boards, pipes, </t>
  </si>
  <si>
    <t>boxes, fasting devices, test and commissioning.</t>
  </si>
  <si>
    <t>Note</t>
  </si>
  <si>
    <t xml:space="preserve">All electrical works shall be constructed according </t>
  </si>
  <si>
    <t>to the SASO and latest SEC code.</t>
  </si>
  <si>
    <t>SITE WORK :-</t>
  </si>
  <si>
    <t>MAIN AND SUB MAIN POWER</t>
  </si>
  <si>
    <t xml:space="preserve">Main and Sub-Main Circuit: </t>
  </si>
  <si>
    <t>600/1000V XLPE multicore or single core copper</t>
  </si>
  <si>
    <t xml:space="preserve">cable in conduits including UPVC conduits, </t>
  </si>
  <si>
    <t>conductors, junction boxes, connection for</t>
  </si>
  <si>
    <t>feeders at various power loads</t>
  </si>
  <si>
    <t>as shown on drawings.</t>
  </si>
  <si>
    <t>1.1</t>
  </si>
  <si>
    <t>2X(4C-300 mm2+1X70 mm2G)</t>
  </si>
  <si>
    <t>1.2</t>
  </si>
  <si>
    <t>4C-95mm2+1X50mm2G</t>
  </si>
  <si>
    <t>1.3</t>
  </si>
  <si>
    <t>4C-185mm2+1X50mm2G</t>
  </si>
  <si>
    <t>1.4</t>
  </si>
  <si>
    <t>4C-50mm2+1X35mm2G</t>
  </si>
  <si>
    <t>1.5</t>
  </si>
  <si>
    <t>4C-35mm2+1X16mm2G</t>
  </si>
  <si>
    <t>1.6</t>
  </si>
  <si>
    <t>4C-25mm2+1X16mm2G</t>
  </si>
  <si>
    <t>1.7</t>
  </si>
  <si>
    <t>4C-10mm2+1X10mm2G</t>
  </si>
  <si>
    <t>Supply and install main distribution panelboards including circuit breakers, fixings and all assocciated works as required and as shown on drawings.</t>
  </si>
  <si>
    <t>2.1</t>
  </si>
  <si>
    <t>MDB-1</t>
  </si>
  <si>
    <t>2.2</t>
  </si>
  <si>
    <t>MDB-2</t>
  </si>
  <si>
    <t>2.3</t>
  </si>
  <si>
    <t>MDB-3</t>
  </si>
  <si>
    <t>2.4</t>
  </si>
  <si>
    <t>PK</t>
  </si>
  <si>
    <t>2.5</t>
  </si>
  <si>
    <t>LP-EX &amp;   LP-EX -2</t>
  </si>
  <si>
    <t>2.6</t>
  </si>
  <si>
    <t>PC-1</t>
  </si>
  <si>
    <t>2.7</t>
  </si>
  <si>
    <t>PC-2</t>
  </si>
  <si>
    <t>2.8</t>
  </si>
  <si>
    <t>PS-01</t>
  </si>
  <si>
    <t>2.9</t>
  </si>
  <si>
    <t>PS-02</t>
  </si>
  <si>
    <t>2.10</t>
  </si>
  <si>
    <t>PS-03</t>
  </si>
  <si>
    <t>2.11</t>
  </si>
  <si>
    <t>PS-04</t>
  </si>
  <si>
    <t>2.12</t>
  </si>
  <si>
    <t>PS-05</t>
  </si>
  <si>
    <t>2.13</t>
  </si>
  <si>
    <t>PS-06</t>
  </si>
  <si>
    <t>2.14</t>
  </si>
  <si>
    <t>PS-07</t>
  </si>
  <si>
    <t>2.15</t>
  </si>
  <si>
    <t>PS-08</t>
  </si>
  <si>
    <t>2.16</t>
  </si>
  <si>
    <t>PS-09</t>
  </si>
  <si>
    <t>2.17</t>
  </si>
  <si>
    <t>PS-10</t>
  </si>
  <si>
    <t>2.18</t>
  </si>
  <si>
    <t>PS-11</t>
  </si>
  <si>
    <t>2.19</t>
  </si>
  <si>
    <t>PS-12</t>
  </si>
  <si>
    <t>2.20</t>
  </si>
  <si>
    <t>PS-13</t>
  </si>
  <si>
    <t>2.21</t>
  </si>
  <si>
    <t>PS-14</t>
  </si>
  <si>
    <t>2.22</t>
  </si>
  <si>
    <t>PS-15</t>
  </si>
  <si>
    <t>2.23</t>
  </si>
  <si>
    <t>PS-16</t>
  </si>
  <si>
    <t>2.24</t>
  </si>
  <si>
    <t>PS-17</t>
  </si>
  <si>
    <t>2.25</t>
  </si>
  <si>
    <t>PS-18</t>
  </si>
  <si>
    <t>2.26</t>
  </si>
  <si>
    <t>PS-19</t>
  </si>
  <si>
    <t>2.27</t>
  </si>
  <si>
    <t>PS-20</t>
  </si>
  <si>
    <t>2.28</t>
  </si>
  <si>
    <t>PS-21</t>
  </si>
  <si>
    <t>2.29</t>
  </si>
  <si>
    <t>PS-22</t>
  </si>
  <si>
    <t>2.30</t>
  </si>
  <si>
    <t>PS-23</t>
  </si>
  <si>
    <t>2.31</t>
  </si>
  <si>
    <t>PS-24</t>
  </si>
  <si>
    <t>2.32</t>
  </si>
  <si>
    <t>PS-25</t>
  </si>
  <si>
    <t>2.33</t>
  </si>
  <si>
    <t>PS-26</t>
  </si>
  <si>
    <t>2.34</t>
  </si>
  <si>
    <t>PS-27</t>
  </si>
  <si>
    <t>2.35</t>
  </si>
  <si>
    <t>PS-28</t>
  </si>
  <si>
    <t>2.36</t>
  </si>
  <si>
    <t>PS-29</t>
  </si>
  <si>
    <t>2.37</t>
  </si>
  <si>
    <t>PS-30</t>
  </si>
  <si>
    <t>2.38</t>
  </si>
  <si>
    <t>PS-31</t>
  </si>
  <si>
    <t>2.39</t>
  </si>
  <si>
    <t>PS-32</t>
  </si>
  <si>
    <t>2.40</t>
  </si>
  <si>
    <t>PS-33</t>
  </si>
  <si>
    <t>2.41</t>
  </si>
  <si>
    <t>PS-34</t>
  </si>
  <si>
    <t>2.42</t>
  </si>
  <si>
    <t>PS-35</t>
  </si>
  <si>
    <t>2.43</t>
  </si>
  <si>
    <t>PS-36</t>
  </si>
  <si>
    <t>2.44</t>
  </si>
  <si>
    <t>PS-37</t>
  </si>
  <si>
    <t>2.45</t>
  </si>
  <si>
    <t>PS-38</t>
  </si>
  <si>
    <t>3</t>
  </si>
  <si>
    <t>Supply and install reinforced concrete  Hand</t>
  </si>
  <si>
    <t>Holes connected via duct banks, complete with</t>
  </si>
  <si>
    <t>hand hole bolted type metal cover, drain</t>
  </si>
  <si>
    <t>pipe outlet, including  trenching and backfilling</t>
  </si>
  <si>
    <t>for duct banks, conduits for power and</t>
  </si>
  <si>
    <t>communication cables in duct banks, tapes, all as</t>
  </si>
  <si>
    <t>required to suit locations as shown on drawings</t>
  </si>
  <si>
    <t>and as described in specifications</t>
  </si>
  <si>
    <t>3.1</t>
  </si>
  <si>
    <t>ELEC. Manhole (1.20 X1.20) M</t>
  </si>
  <si>
    <t>No</t>
  </si>
  <si>
    <t>3.2</t>
  </si>
  <si>
    <t>ELEC. Manhole (0.8 X0.8) M</t>
  </si>
  <si>
    <t>3.3</t>
  </si>
  <si>
    <t>ELEC. Manhole (0.6 X0.6) M</t>
  </si>
  <si>
    <t>3.4</t>
  </si>
  <si>
    <t>ELEC. Manhole (0.3 X0.3) M</t>
  </si>
  <si>
    <t>3.5</t>
  </si>
  <si>
    <t>IT. Manhole (0.6 X0.6) M</t>
  </si>
  <si>
    <t>POWER disconnecting switches</t>
  </si>
  <si>
    <t>1</t>
  </si>
  <si>
    <t xml:space="preserve">Supply, installation, testing and commissioning of disconnecting switches including circuit breakers, enclosures, fixings, supports and associated lighting contactors for complete installation as shown on drawings and as per specification  </t>
  </si>
  <si>
    <t>Disconnect switch, non-fused, weatherproof  and with pilot light, 63A, 3P,400V for WATER Pumps.</t>
  </si>
  <si>
    <t>Disconnect switch, non-fused, weatherproof  and with pilot light, 32A, 3P,400V for IRRIGATION PUMP .</t>
  </si>
  <si>
    <t xml:space="preserve">Disconnect switch, non-fused and with pilot  light , 200A, 3P, 400V in N-1 Enclosure, weatherproof for Fire pump </t>
  </si>
  <si>
    <t xml:space="preserve">Disconnect switch, non-fused and with pilot  light , 32A, 1P, 220V in N-1 Enclosure, weatherproof for BOOSTER PUMP </t>
  </si>
  <si>
    <t>2</t>
  </si>
  <si>
    <t xml:space="preserve">Supply and install SLEEVE PIPES </t>
  </si>
  <si>
    <t xml:space="preserve"> connections and associated trenching and</t>
  </si>
  <si>
    <t>backfilling as required to suit the locations  shown</t>
  </si>
  <si>
    <t>on drawings and as described in spsecifictaions</t>
  </si>
  <si>
    <t>6" Ø sleeve pipes</t>
  </si>
  <si>
    <t>4" Ø sleeve pipes</t>
  </si>
  <si>
    <t>3" Ø sleeve pipes</t>
  </si>
  <si>
    <t xml:space="preserve">GROUNDING SYSTEM.  </t>
  </si>
  <si>
    <t xml:space="preserve">Supply and install a complete grounding system </t>
  </si>
  <si>
    <t xml:space="preserve">comprising soild copper bare conductor </t>
  </si>
  <si>
    <t xml:space="preserve">imbedded in foundation and surrounding the </t>
  </si>
  <si>
    <t xml:space="preserve">buildings. Including earthing of all electrical and </t>
  </si>
  <si>
    <t>mechanical equipments in pump room, HAVC at</t>
  </si>
  <si>
    <t>the roof, in addition to all earthwork, connections</t>
  </si>
  <si>
    <t>to the building's facades, disconnect link for</t>
  </si>
  <si>
    <t xml:space="preserve">testing, clips, exthermic bonding and all </t>
  </si>
  <si>
    <t>assocciated works as necessary to complete</t>
  </si>
  <si>
    <t>the work as per code recommendation, as per</t>
  </si>
  <si>
    <t>drawings and as described in specifications.</t>
  </si>
  <si>
    <t>To suit the building's grounding resistivity</t>
  </si>
  <si>
    <t>Copper clad steel rod  20 mm dia &amp; 3000mm length</t>
  </si>
  <si>
    <t>EARTHING PIT ∅20 mm x 3000 mm &amp; INSPECTION PIT</t>
  </si>
  <si>
    <t>70 mm BARE COPPER CONDUCTOR</t>
  </si>
  <si>
    <t xml:space="preserve"> COPPER BUSBAR</t>
  </si>
  <si>
    <t xml:space="preserve">POWER AND LIGHTING  </t>
  </si>
  <si>
    <t>Light Switches and Electrical Sockets Supply and install power and lighting accessories</t>
  </si>
  <si>
    <t>including all necessary boxes, switches, sockets</t>
  </si>
  <si>
    <t>and as required seal enclosures. In addition to</t>
  </si>
  <si>
    <t>final sub-circuits comprising cables, conduits,</t>
  </si>
  <si>
    <t>fittings, connections and associated works as</t>
  </si>
  <si>
    <t>required to suit the locations  shown on drawings.</t>
  </si>
  <si>
    <t>The contractor is responsible for the finalization of all</t>
  </si>
  <si>
    <t>switching devices for all lighting outlets (Junction</t>
  </si>
  <si>
    <t>Boxes) according to Interior Design (ID) lighting fixture</t>
  </si>
  <si>
    <t>selection, layout and connections. In addition all plate</t>
  </si>
  <si>
    <t>covers for switches and sockets are to be supplied</t>
  </si>
  <si>
    <t>after client and consulatant engineer approval.</t>
  </si>
  <si>
    <t>13A,220V, 1 phase, 3 wires, duplex socket with switch on and off</t>
  </si>
  <si>
    <t>13A,220V, 1 phase, 3 wires, single socket with switch on and off for EMERGENCY LIGHT</t>
  </si>
  <si>
    <t>2 gang 1 way  Lighting switch ,220V, 1 phase</t>
  </si>
  <si>
    <t>Install lighting fixtures complete with</t>
  </si>
  <si>
    <t>luminaries and mounting accessories. In addition</t>
  </si>
  <si>
    <t>to supply and install the final sub-circuits comprising cables,</t>
  </si>
  <si>
    <t>conduits, fittings, connections and associated works as</t>
  </si>
  <si>
    <t>client and consulatant engineer approval is required.</t>
  </si>
  <si>
    <r>
      <t xml:space="preserve">The contractor shall be responsible for the supply and installation of all lighting works, including conduits, wiring, First Fix, Second Fix, and Third Fix. </t>
    </r>
    <r>
      <rPr>
        <b/>
        <u/>
        <sz val="10"/>
        <color rgb="FFFF0000"/>
        <rFont val="Arial"/>
        <family val="2"/>
      </rPr>
      <t>The Owner will supply only the light fixtures themselves</t>
    </r>
    <r>
      <rPr>
        <b/>
        <u/>
        <sz val="10"/>
        <rFont val="Arial"/>
        <family val="2"/>
      </rPr>
      <t xml:space="preserve"> for Third Fix only; the contractor is responsible for installing these fixtures, but the supply of the fixtures is not the contractor’s responsibility.</t>
    </r>
  </si>
  <si>
    <t>WEATHER PROOF, CLEAR POLYCARBONATE INJECTED UV STABLE DIFFUSER, HEAT HARDENED, ALUMINUM REFLECTOR PLACED UNDER THE LAMPS, DIFFUSER TIGHTENED WITH EXPANDABLE SEAL AND CLOSING CLIPS, 1274 X 195MM IN SIZE,  IP-65.</t>
  </si>
  <si>
    <t xml:space="preserve">POLE TOP LUMINAIRE, 2x150 watt LED LAMP,230 VOLT, ALUMINUM AND STAINLESS STEEL, SAFETY GLASS, REFLECTOR OF ANODIZED PURE ALUMINUM, ADJUSTABLE SLOPE ANGLE 0° OR 15°, LUMINAIRE MOUNTING HEIGHT  "H1" 6m HIGH, IP65. </t>
  </si>
  <si>
    <t xml:space="preserve"> LED STRIP LIGHT IP 65 ,10W/M ,3500K with ALUMINUM LINEAR PROFILE WITH COVER , BLACK or WHITE HOUSING</t>
  </si>
  <si>
    <t>String Lights Hanging Kit,Globe String Lights Suspension Kit,Outdoor Light Guide Wire-Coated Stainless Steel Wire Rope Cable,Turnbuckle and Hooks,Enough Accessories</t>
  </si>
  <si>
    <t xml:space="preserve">  LIGHT FOR SITE AS PER DESIGN IP 65 ,10W/M ,3500K with  ALUMINUM PROFILE WITH COVER , BLACK or WHITE HOUSING</t>
  </si>
  <si>
    <t>LOW CURRENT SYSTEMS</t>
  </si>
  <si>
    <t>All LOW CURRENT systems include fittings, tapes, pull</t>
  </si>
  <si>
    <t>boxes, connectors, supports, extensions of cables in</t>
  </si>
  <si>
    <t xml:space="preserve">conduits and all associated works as required to form </t>
  </si>
  <si>
    <t xml:space="preserve">a complete and fully operative system in the building </t>
  </si>
  <si>
    <t xml:space="preserve">as shown on drawings. </t>
  </si>
  <si>
    <t>CCTV SYSTEM</t>
  </si>
  <si>
    <t>CCTV SYSTEM: - Supply,  install,  connect,  testing  a  complete  CCTV  system  as shown   on   drawings with    all    equipment    specified    herein  including   other   components   accessories required  to  complete installation &amp; working. All the equipment of the closed circuit television system shall be rack-mounted type, where possible, and  shall  be  products  of a   single   manufacturer,   unless applicable or approved otherwise. Each item shall be installed where  shown  on  drawings  or  as  required  complete  with  its wiring (system including main rack01  fiber   optical   cable,   monitors,   WORKtation…etc.) recording criteria  shall  be  with  25  to  30  fps,  band  width  10 Mb/sec, H.264 video compression, 100% motion for 90 days, interface with it system.</t>
  </si>
  <si>
    <t>24 CH Network video Recorder,8 SATA, 8HDD Support</t>
  </si>
  <si>
    <t xml:space="preserve">Western digital 10 TB  Hard drive  for 90 Days backup </t>
  </si>
  <si>
    <t>IP DOME  FIXED CCTV CAMERA 8 MGPX OR EQUAL .   CEILLING MOUNTED ( WATER PROOF IF REQUIRED ) .</t>
  </si>
  <si>
    <t>Network CCTV bullet external (outdoor) camera, IP fixed,4k
8 megapixel</t>
  </si>
  <si>
    <t xml:space="preserve">CAT6 CALBE  </t>
  </si>
  <si>
    <t xml:space="preserve">FREE STAND cabient  12U   CCTV Rack </t>
  </si>
  <si>
    <t>TOTAL COST FOR DIVISION 8: ELECTRICAL (To Summary)</t>
  </si>
  <si>
    <t>Division A9 - FIRE</t>
  </si>
  <si>
    <t>DIVISION 17 - FIRE SYSTEM</t>
  </si>
  <si>
    <t>Fire Alarm items</t>
  </si>
  <si>
    <t>Fa</t>
  </si>
  <si>
    <t>FIRE ALARM SYSTEM :
Alarm systems include the supply, installation, testing and commissioning of the fire alarm system, and the work includes wires, pipes, cable beds, boxes, supports, grounding ,all fittings ,accessories,exacavations,backfilling,and all labour and materials to complete work.The entire system materials and installation must be complied the NFPA and all materials and components comply with Saudi Standard Specifications (SASO) or UL / FM Listed and civil defense requirements.
All materials must be approved before supply by the engineer owner .</t>
  </si>
  <si>
    <t>Fa1</t>
  </si>
  <si>
    <t>Addressable fire alarm control panel ( 1 loop )  with 24 hour back up battery.</t>
  </si>
  <si>
    <t>Pcs</t>
  </si>
  <si>
    <t>Fa2</t>
  </si>
  <si>
    <t xml:space="preserve">Addressable manual call point </t>
  </si>
  <si>
    <t>Fa3</t>
  </si>
  <si>
    <t>Addressable siren  ( indoor )</t>
  </si>
  <si>
    <t>Fa4</t>
  </si>
  <si>
    <t>Addressable  Smoke Detector</t>
  </si>
  <si>
    <t>Fa5</t>
  </si>
  <si>
    <t>Addressable Heat Detector</t>
  </si>
  <si>
    <t>Fa6</t>
  </si>
  <si>
    <t>Addressable weatherproof alarm siren with flashing light</t>
  </si>
  <si>
    <t>Fa7</t>
  </si>
  <si>
    <t>Monitor module</t>
  </si>
  <si>
    <t>Fa8</t>
  </si>
  <si>
    <t>Conventional fire alarm control panel ( 2 Zoons )  with 24 hour back up battery.</t>
  </si>
  <si>
    <t>Fa9</t>
  </si>
  <si>
    <t>Conventional fire alarm control panel ( 1 Zoon )  with 24 hour back up battery.</t>
  </si>
  <si>
    <t>Fa10</t>
  </si>
  <si>
    <t xml:space="preserve">Conventional manual call point </t>
  </si>
  <si>
    <t>Fa11</t>
  </si>
  <si>
    <t>Conventional  Bell</t>
  </si>
  <si>
    <t>Fa12</t>
  </si>
  <si>
    <t>Conventional  Smoke Detector</t>
  </si>
  <si>
    <t>Fa13</t>
  </si>
  <si>
    <t>EMERGENCY LIGHTS, 2 X 20 WATTS, WITH BACKUP
BATTERY 3.0 HRS APPROVED BY SASO.
230V/60HZ/ 1PH</t>
  </si>
  <si>
    <t>Fa14</t>
  </si>
  <si>
    <t>EXIT LIGHT W/ SELF CONTAINED EMERGENCY
SUPPLY 1 X 10 WATTS. 3.0 HRS APPROVED BY
SASO. 230V/60HZ/ 1PH</t>
  </si>
  <si>
    <t>Fa15</t>
  </si>
  <si>
    <t>FIRE RATED METAL DOOR SELF CLOSE 1.5 HOUR</t>
  </si>
  <si>
    <t>Fa16</t>
  </si>
  <si>
    <t>FIRE RATED METAL DOOR SELF CLOSE 1.0 HOUR</t>
  </si>
  <si>
    <t>FIRE PROTECTION SYSTEM</t>
  </si>
  <si>
    <t>FB</t>
  </si>
  <si>
    <t>Supply, installation and testing of pipework, seamless</t>
  </si>
  <si>
    <t>black steel pipe, schedule 40 ASTM A 53 or A795; fittings</t>
  </si>
  <si>
    <t>shall be malleable iron screwed for 50mm OD and below;</t>
  </si>
  <si>
    <t>steel flanges &amp; flanged fittings shall be ANSI B16.5 dim.,</t>
  </si>
  <si>
    <t>class 150-ASTM A105; for aboveground pipe shall be</t>
  </si>
  <si>
    <t>RTR as per ASTM D2310, bell x spigot and for adhesive</t>
  </si>
  <si>
    <t>bonded joints: including supports as shown on drawing</t>
  </si>
  <si>
    <t>standard and specifications:</t>
  </si>
  <si>
    <t>FB1</t>
  </si>
  <si>
    <t>1" Ø pipe schedule 40</t>
  </si>
  <si>
    <t>FB2</t>
  </si>
  <si>
    <t>1.25" Ø pipe schedule 40</t>
  </si>
  <si>
    <t>FB3</t>
  </si>
  <si>
    <t>1.5" Ø pipe schedule 40</t>
  </si>
  <si>
    <t>FB4</t>
  </si>
  <si>
    <t>2" Ø pipe schedule 40</t>
  </si>
  <si>
    <t>FB5</t>
  </si>
  <si>
    <t>2.5" Ø pipe schedule 40</t>
  </si>
  <si>
    <t>FB6</t>
  </si>
  <si>
    <t>3.0" Ø pipe schedule 40</t>
  </si>
  <si>
    <t>FB7</t>
  </si>
  <si>
    <t>4.0" Ø pipe schedule 40</t>
  </si>
  <si>
    <t>CONTRACTOR IS RESPONSBLE FOR (excavation, levelling, installation, concrete thrust blocks, tests, backfilling and warning tape</t>
  </si>
  <si>
    <t>FB8</t>
  </si>
  <si>
    <t>HDPE PIPE UNDER GROUND 2 INCH</t>
  </si>
  <si>
    <t>FB9</t>
  </si>
  <si>
    <t>HDPE PIPE UNDER GROUND 3 INCH</t>
  </si>
  <si>
    <t>FB10</t>
  </si>
  <si>
    <t>HDPE PIPE UNDER GROUND 4 INCH</t>
  </si>
  <si>
    <t>FB11</t>
  </si>
  <si>
    <t>HDPE PIPE UNDER GROUND 6 INCH</t>
  </si>
  <si>
    <t>FB12</t>
  </si>
  <si>
    <t>1" Ø pipe schedule 40 for SPRINKLER</t>
  </si>
  <si>
    <t xml:space="preserve">FIRE DEPARTMENT CONNECTION </t>
  </si>
  <si>
    <t>FC</t>
  </si>
  <si>
    <t>siamese connection having 2*2 1/2 inlets for city fire department connection having 4 outler to the building fire fighting system connection</t>
  </si>
  <si>
    <t>FIRE HOSE CABINET</t>
  </si>
  <si>
    <t>FD</t>
  </si>
  <si>
    <t>supply and installation and testing fire hose cabinet steel construction and commission with 30 meter 25mm (1inch)diameter fire rubber hose cabinet assembly complete with 40 mm (1.5 inch landing valve bronze adjustable spray nozzle as per drawings &amp; civil defence approved</t>
  </si>
  <si>
    <t>FE</t>
  </si>
  <si>
    <t>Fire Extinguisher</t>
  </si>
  <si>
    <t>Portable fire extinguisher, ABC dry chemical, 6kg</t>
  </si>
  <si>
    <t>capacity, steel painted body, with pressure indicator,</t>
  </si>
  <si>
    <t>FE1</t>
  </si>
  <si>
    <t>reinforced hose and discharge horn, squeeze handle, wall</t>
  </si>
  <si>
    <t>mounted bracket, installed with tagging and accessories, all</t>
  </si>
  <si>
    <t>as specified and shown on drawings (Civil Defense</t>
  </si>
  <si>
    <t>Approved).</t>
  </si>
  <si>
    <t>FE2</t>
  </si>
  <si>
    <t>Portable fire extinguisher, carbon dioxide type,6 kg</t>
  </si>
  <si>
    <t>capacity, steel painted body, pressure tested at 250 bars,</t>
  </si>
  <si>
    <t>seamless construction, with pull in squeeze handle, double</t>
  </si>
  <si>
    <t>braided hose and discharge horn, installed with tagging and</t>
  </si>
  <si>
    <t>accessories all as specified and shown on drawings (Civil</t>
  </si>
  <si>
    <t>Defense Approved).</t>
  </si>
  <si>
    <t>FE3</t>
  </si>
  <si>
    <t>CHEMICAL POWDER WITH MOUNTED 
 CELLING .CAPCITY 10 KG</t>
  </si>
  <si>
    <t>FF</t>
  </si>
  <si>
    <t>Sprinkler</t>
  </si>
  <si>
    <t>Supply, installation and testing ofSprinkler Heads; shall be</t>
  </si>
  <si>
    <t>standard response type, ordinary at temperature rating of</t>
  </si>
  <si>
    <t>68deg cent.; pendent heads shall be standard response type,</t>
  </si>
  <si>
    <t>ordinary temperature rating of 57 deg. Cent. All in</t>
  </si>
  <si>
    <t>accordance with general notes and standard (Civil Defense</t>
  </si>
  <si>
    <t>Approved.</t>
  </si>
  <si>
    <t>Pendent sprinkler (68 ºc) 5.6 K</t>
  </si>
  <si>
    <t>FG</t>
  </si>
  <si>
    <t>GATE VALVES:</t>
  </si>
  <si>
    <t>Supply, installation &amp; setting to work Gate valves</t>
  </si>
  <si>
    <t>completed with accessories (Approval by UL listed or FM</t>
  </si>
  <si>
    <t>or SASO) as shown on drawing and specifications</t>
  </si>
  <si>
    <t>FG1</t>
  </si>
  <si>
    <t>Gate Valve Ø2" inch</t>
  </si>
  <si>
    <t>FH</t>
  </si>
  <si>
    <t>ALARM CHECK VALVES:</t>
  </si>
  <si>
    <t>FH1</t>
  </si>
  <si>
    <t>ALARM CHECK VALVE 3 INCH</t>
  </si>
  <si>
    <t>FH2</t>
  </si>
  <si>
    <t>ALARM CHECK VALVE 4 INCH</t>
  </si>
  <si>
    <t>FH3</t>
  </si>
  <si>
    <t>ALARM CHECK VALVE 6 INCH</t>
  </si>
  <si>
    <t>FI</t>
  </si>
  <si>
    <t>FIRE PUMP</t>
  </si>
  <si>
    <t>FI1</t>
  </si>
  <si>
    <t>DESIL VERTICAL TURBINE PUMP CAPCITY 500 GALLON PER MINUTE (GPM)</t>
  </si>
  <si>
    <t>HEAD 70 METER , PRESSURE = 7 BAR</t>
  </si>
  <si>
    <t>FI2</t>
  </si>
  <si>
    <t xml:space="preserve">  ELECTRICAL VERTICAL TURBINE  PUMP CAPCITY 500 GALLON PER MINUTE (GPM)</t>
  </si>
  <si>
    <t>FI3</t>
  </si>
  <si>
    <t xml:space="preserve"> JOKEY VERTICAL TURBINE PUMP CAPCITY 50 GALLON PER MINUTE (GPM)</t>
  </si>
  <si>
    <t>HEAD 75 METER , PRESSURE = 7 BAR</t>
  </si>
  <si>
    <t>TOTAL COST FOR DIVISION 9: FIRE (To Summary)</t>
  </si>
  <si>
    <t>Division A10 - METALWORKS</t>
  </si>
  <si>
    <t>METALS</t>
  </si>
  <si>
    <t>Install,  and Erection of Pre Engineered Structural steel works including rafters, purlins,platform above roof for water tanks &amp; hvac outdoor unit</t>
  </si>
  <si>
    <r>
      <t>fixing 100mm thk Sandwich panels to R</t>
    </r>
    <r>
      <rPr>
        <b/>
        <sz val="12"/>
        <color indexed="10"/>
        <rFont val="Times New Roman"/>
        <family val="1"/>
      </rPr>
      <t>oof</t>
    </r>
    <r>
      <rPr>
        <sz val="12"/>
        <color indexed="10"/>
        <rFont val="Times New Roman"/>
        <family val="1"/>
      </rPr>
      <t xml:space="preserve"> (0.50mm thk GI (G90) Polysterstandard RAL colour Top skin,50mm thk PIT of density35/40    +/-3kg/m³,0.70 thk thk GI (G90) Polysterstandard RAL colour Liner skin</t>
    </r>
  </si>
  <si>
    <t>METAL STAIR LADDER FOR ROOF SERVICE HIGHT 11 METER</t>
  </si>
  <si>
    <t>METAL CNC DESIGN FOR FAÇADE AS PER DESIGN RAL (9001)</t>
  </si>
  <si>
    <t>The Supplier Nominated by client to undertake the above works ALMGHRABY Can be contacted via below contact details.(Tenderers are requested to contact ALMGHRABY Via below contact details)</t>
  </si>
  <si>
    <t>TOTAL COST FOR DIVISION 10: FIRE (To Summary)</t>
  </si>
  <si>
    <t>COMPOSITE SUMMARY</t>
  </si>
  <si>
    <t>Item No.</t>
  </si>
  <si>
    <t>Unit Rate</t>
  </si>
  <si>
    <t>Amount</t>
  </si>
  <si>
    <t>SAR</t>
  </si>
  <si>
    <t>XXX</t>
  </si>
  <si>
    <t>THERMAL &amp; MOISTURE PROTECTION</t>
  </si>
  <si>
    <t>PLUMBING</t>
  </si>
  <si>
    <t>ELECTRICAL</t>
  </si>
  <si>
    <t>TOTAL ESTIMATED CONTRACT PRICE</t>
  </si>
  <si>
    <t>1.2.4</t>
  </si>
  <si>
    <t>Supply and application of approved anti-termite chemical treatment by spraying the soil beneath the Slab on Grade (SOG), including all necessary materials, equipment, labor, and related works, in accordance with the manufacturer’s recommendations.</t>
  </si>
  <si>
    <t>SUPPLY AND INSTALL SAUDI GRANITE FLOORING 600 × 300 × 20 MM FOR SHOPS OUTDOOR (SITE), INCLUDING 5 CM THICK CEMENT-SAND MIX BED, FIXING USING ADHESIVE, JOINT GROUTING BETWEEN GRANITE TILES IN MATCHING COLOR, AND COMPLETE CLEANING AND POLISHING AFTER INSTALLATION. WORKS TO BE COMPLETE IN ALL RESPECTS.</t>
  </si>
  <si>
    <t>SUPPLY AND INSTALL SAUDI GRANITE FLOORING 600 × 600 × 20 MM FOR SITE WALKWAY, INCLUDING 5 CM THICK CEMENT-SAND MIX BED, FIXING USING ADHESIVE, JOINT GROUTING BETWEEN GRANITE TILES IN MATCHING COLOR, AND COMPLETE CLEANING AND POLISHING AFTER INSTALLATION. WORKS TO BE COMPLETE IN ALL RESPECTS.</t>
  </si>
  <si>
    <t>SUPPLY AND INSTALLATION OF PRECAST CONCRETE PARKING WHEEL STOPS, SIZE 10 × 10 × 180 CM, INCLUDING ALL NECESSARY FIXINGS, ANCHORS, AND ACCESSORIES. WHEEL STOPS SHALL BE FINISHED WITH YELLOW ROAD-MARKING PAINT, SUCH AS JAZEERA ROAD PAINT OR APPROVED EQUIVALENT, SUITABLE FOR EXTERNAL PARKING APPLICATIONS, COMPLETE IN ACCORDANCE WITH THE PROJECT REQUIREMENTS.</t>
  </si>
  <si>
    <r>
      <rPr>
        <b/>
        <sz val="12"/>
        <color rgb="FF000000"/>
        <rFont val="Times New Roman"/>
        <family val="1"/>
      </rPr>
      <t>EXTERNAL PLASTERING WORKS</t>
    </r>
    <r>
      <rPr>
        <sz val="12"/>
        <color indexed="8"/>
        <rFont val="Times New Roman"/>
        <family val="1"/>
      </rPr>
      <t>, INCLUDING SURFACE PREPARATION, CEMENT-SAND PLASTER APPLICATION, LEVELING WITH BOUGHS AND STRINGS, INSTALLATION OF GALVANISED ANGLE BEADS AT ALL CORNERS, REINFORCEMENT MESH AT COLUMNS, BEAMS, AND ABOVE ELECTRICAL, PLUMBING &amp; HVAC PIPES, AND PROVIDING SMOOTH UNIFORM FINISH AS PER INDUSTRY STANDARDS. COMPLETE IN ALL RESPECTS.</t>
    </r>
  </si>
  <si>
    <t>EXTERNAL CLADDING</t>
  </si>
  <si>
    <t>4.3.1</t>
  </si>
  <si>
    <r>
      <rPr>
        <b/>
        <sz val="12"/>
        <color rgb="FF000000"/>
        <rFont val="Times New Roman"/>
        <family val="1"/>
      </rPr>
      <t>EXTERNAL STONE CLADDING</t>
    </r>
    <r>
      <rPr>
        <sz val="12"/>
        <color indexed="8"/>
        <rFont val="Times New Roman"/>
        <family val="1"/>
      </rPr>
      <t xml:space="preserve">
SUPPLY AND INSTALLATION OF </t>
    </r>
    <r>
      <rPr>
        <b/>
        <sz val="12"/>
        <color rgb="FF000000"/>
        <rFont val="Times New Roman"/>
        <family val="1"/>
      </rPr>
      <t>BEIGE TRAVERTINE STON</t>
    </r>
    <r>
      <rPr>
        <sz val="12"/>
        <color indexed="8"/>
        <rFont val="Times New Roman"/>
        <family val="1"/>
      </rPr>
      <t>E 400*800*20 MM CLADDING TO EXTERNAL FACADES, INCLUDING SURFACE PREPARATION, APPLICATION OF BLACK BITUMINOUS COATING (ASPHALT) TO MASONRY BLOCK WALLS PRIOR TO INSTALLATION, MECHANICAL FIXING SYSTEM USING HOT-DIP GALVANIZED STEEL ANGLES, GALVANIZED STEEL FASTENERS, BOLTS, AND STEEL ANCHORS AS REQUIRED, COMPLETE WITH ALL NECESSARY ACCESSORIES, CUTTING, DRILLING, JOINTS, ALIGNMENT, LEVELING, AND FINISHING, ALL IN ACCORDANCE WITH THE APPROVED SHOP DRAWINGS, MANUFACTURER'S RECOMMENDATIONS, AND THE OWNER'S APPROVED SAMPLE.</t>
    </r>
  </si>
  <si>
    <r>
      <rPr>
        <b/>
        <sz val="12"/>
        <color rgb="FF000000"/>
        <rFont val="Times New Roman"/>
        <family val="1"/>
      </rPr>
      <t>RAZEEN SIGNAGE:</t>
    </r>
    <r>
      <rPr>
        <sz val="12"/>
        <color indexed="8"/>
        <rFont val="Times New Roman"/>
        <family val="1"/>
      </rPr>
      <t xml:space="preserve">
SUPPLY, FABRICATION, AND INSTALLATION OF “RAZEEN SEEF MALL” EXTERNAL 3D SIGNAGE, INCLUDING INDIVIDUAL DIMENSIONAL LETTERS AND LOGO WITH BACKLIT LED ILLUMINATION, SUPPORTING STRUCTURE, FIXING ACCESSORIES, POWER SUPPLY, WIRING, AND ALL RELATED WORKS.
</t>
    </r>
    <r>
      <rPr>
        <sz val="8"/>
        <color rgb="FF000000"/>
        <rFont val="Times New Roman"/>
        <family val="1"/>
      </rPr>
      <t xml:space="preserve">
 </t>
    </r>
    <r>
      <rPr>
        <sz val="12"/>
        <color indexed="8"/>
        <rFont val="Times New Roman"/>
        <family val="1"/>
      </rPr>
      <t xml:space="preserve">SIGNAGE SHALL BE FABRICATED FROM HIGH-QUALITY, WEATHER-, UV-, AND CORROSION-RESISTANT MATERIALS, WITH ENERGY-EFFICIENT LED BACKLIGHTING PROVIDING UNIFORM WARM ILLUMINATION.
</t>
    </r>
    <r>
      <rPr>
        <sz val="8"/>
        <color rgb="FF000000"/>
        <rFont val="Times New Roman"/>
        <family val="1"/>
      </rPr>
      <t xml:space="preserve">
</t>
    </r>
    <r>
      <rPr>
        <sz val="12"/>
        <color indexed="8"/>
        <rFont val="Times New Roman"/>
        <family val="1"/>
      </rPr>
      <t>THE CONTRACTOR SHALL SUBMIT SHOP DRAWINGS, MATERIAL SAMPLES, COLORS, FINISHES, STRUCTURAL DETAILS, AND ILLUMINATION DETAILS FOR APPROVAL PRIOR TO FABRICATION. COMPLETE WITH ALL BRACKETS, ANCHORS, CABLES, CONDUITS, LED DRIVERS, WEATHERPROOFING, AND ACCESSORIES.</t>
    </r>
  </si>
  <si>
    <t>FACADES WORK</t>
  </si>
  <si>
    <r>
      <rPr>
        <b/>
        <sz val="12"/>
        <color rgb="FF000000"/>
        <rFont val="Times New Roman"/>
        <family val="1"/>
      </rPr>
      <t>SUPPLY AND INSTALLATION OF GRC FACADES</t>
    </r>
    <r>
      <rPr>
        <sz val="12"/>
        <color indexed="8"/>
        <rFont val="Times New Roman"/>
        <family val="1"/>
      </rPr>
      <t xml:space="preserve">
SUPPLY AND INSTALLATION OF GRC (GLASS REINFORCED CONCRETE) FACADES IN ACCORDANCE WITH THE APPROVED DESIGN AND ARCHITECTURAL DRAWINGS, INCLUDING THE SUPPLY AND INSTALLATION OF 20 MM THICK GRC PANELS, COMPLETE WITH THE REQUIRED METAL FRAMING/SUBFRAME, BRACKETS, FIXINGS, ACCESSORIES, AND ALL NECESSARY OPENINGS, CUT-OUTS, AND RECESSES IN THE PANELS AS PER THE APPROVED DESIGN. THE SCOPE SHALL INCLUDE ALL MATERIALS, ACCESSORIES, FABRICATION, INSTALLATION, AND RELATED WORKS REQUIRED TO COMPLETE THE WORKS IN ACCORDANCE WITH THE APPROVED DRAWINGS, SPECIFICATIONS, AND RECOGNIZED TECHNICAL STANDARDS AND PRACTICES.</t>
    </r>
  </si>
  <si>
    <r>
      <rPr>
        <b/>
        <sz val="12"/>
        <color rgb="FF000000"/>
        <rFont val="Times New Roman"/>
        <family val="1"/>
      </rPr>
      <t xml:space="preserve">PAINTING FOR OUTDOOR WALLS (RAL 0607005)
BEHIND SIGNAGES </t>
    </r>
    <r>
      <rPr>
        <sz val="12"/>
        <color indexed="8"/>
        <rFont val="Times New Roman"/>
        <family val="1"/>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</si>
  <si>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(D/W1)  15700*3000 ALUMINIUM GLASS WALL WITH THREE DOUBLE DOORS WITH FIXED GLASS
@  SHOPS ENTRANCE</t>
  </si>
  <si>
    <t>(D/W2)  13150*3000 ALUMINIUM GLASS WALL WITH TWO DOUBLE DOORS WITH FIXED GLASS
@  SHOPS ENTRANCE</t>
  </si>
  <si>
    <t>(D/W3)  12600*3000 ALUMINIUM GLASS WALL WITH TWO DOUBLE DOORS WITH FIXED GLASS
@  SHOPS ENTRANCE</t>
  </si>
  <si>
    <t>(D/W4)  12150*3000 ALUMINIUM GLASS WALL WITH TWO DOUBLE DOORS WITH FIXED GLASS
@  SHOPS ENTRANCE</t>
  </si>
  <si>
    <t>(D01) 1100*2400 SINGLE LEAF WOODEN SWING SINGLE DOOR @ SERVICE ROOMS</t>
  </si>
  <si>
    <t>(D/W5)  3000*6500 ALUMINIUM GLASS WALL WITH DOUBLE DOORS WITH FIXED GLASS
@  SHOPS ENTRANCE</t>
  </si>
  <si>
    <t xml:space="preserve">(W01) FIXED ALUMINIUM GLASS WINDOW 2000*2500 @  SHOPS </t>
  </si>
  <si>
    <t>Supply and installation with complete hardware's, fittings, accessories and finishes. (shop drawing must be submitted for approval)
Including:</t>
  </si>
  <si>
    <t>E.5</t>
  </si>
  <si>
    <t>Downspout Nozzle: Rough Bronze, w/Wall Flange 110mm Ø.         (Zurn) or approved equal</t>
  </si>
  <si>
    <t>E.6</t>
  </si>
  <si>
    <t>Downspout Nozzle: Rough Bronze, w/Wall Flange 160mm Ø.          (Zurn) or approved equal</t>
  </si>
  <si>
    <t>4.2.4</t>
  </si>
  <si>
    <t>4.2.5</t>
  </si>
  <si>
    <t>4.3.2</t>
  </si>
  <si>
    <t>(D2) 1100*2400 SINGLE LEAF STEEL SWING DOOR 
@ OFFICE, DATA &amp; CONTROL, METER ROOM &amp; PUMP ROOM.</t>
  </si>
  <si>
    <t>(D3) 4500*2100 FOLDING SECO ROOM DOOR AS PER SECO STANDARD</t>
  </si>
  <si>
    <t>material</t>
  </si>
  <si>
    <t>manpower</t>
  </si>
  <si>
    <t>Lab</t>
  </si>
  <si>
    <t>concrete</t>
  </si>
  <si>
    <t>RFT</t>
  </si>
  <si>
    <t>operaion</t>
  </si>
  <si>
    <t>Stiffener Column (Height 9.00 m) (4500 KG/CM2), Type (I)</t>
  </si>
  <si>
    <t>200 mm thick walls ConcreteBlock under boundary grade beams</t>
  </si>
  <si>
    <t>block</t>
  </si>
  <si>
    <t>membrane</t>
  </si>
  <si>
    <t>protection board</t>
  </si>
  <si>
    <t>screed</t>
  </si>
  <si>
    <t>supply</t>
  </si>
  <si>
    <t>housing</t>
  </si>
  <si>
    <t>wire</t>
  </si>
  <si>
    <t>install</t>
  </si>
  <si>
    <t>nvr</t>
  </si>
  <si>
    <t>hdd</t>
  </si>
  <si>
    <t>Yes</t>
  </si>
  <si>
    <t>Steel structure erection</t>
  </si>
  <si>
    <t>4.1.10</t>
  </si>
  <si>
    <t>BUILDING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</si>
</sst>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0.0"/>
    <numFmt numFmtId="167" formatCode="_-* #,##0.00_-;_-* #,##0.00\-;_-* &quot;-&quot;??_-;_-@_-"/>
  </numFmts>
  <fonts count="56" x14ac:knownFonts="1">
    <font>
      <sz val="10"/>
      <color theme="1"/>
      <name val="Arial"/>
      <family val="2"/>
    </font>
    <font>
      <sz val="11"/>
      <color theme="1"/>
      <name val="Calibri"/>
      <family val="2"/>
      <charset val="178"/>
      <scheme val="minor"/>
    </font>
    <font>
      <b/>
      <sz val="10"/>
      <name val="Arial"/>
      <family val="2"/>
      <charset val="178"/>
    </font>
    <font>
      <sz val="10"/>
      <name val="Arial"/>
      <family val="2"/>
    </font>
    <font>
      <sz val="12"/>
      <name val="Arial"/>
      <family val="2"/>
    </font>
    <font>
      <b/>
      <sz val="10"/>
      <name val="Arial"/>
      <family val="2"/>
    </font>
    <font>
      <sz val="10"/>
      <name val="Arial"/>
      <family val="2"/>
      <charset val="178"/>
    </font>
    <font>
      <sz val="10"/>
      <name val="Arial"/>
      <family val="2"/>
    </font>
    <font>
      <b/>
      <sz val="12"/>
      <name val="Times New Roman"/>
      <family val="1"/>
    </font>
    <font>
      <b/>
      <u/>
      <sz val="12"/>
      <name val="Times New Roman"/>
      <family val="1"/>
    </font>
    <font>
      <sz val="12"/>
      <name val="Times New Roman"/>
      <family val="1"/>
    </font>
    <font>
      <sz val="11"/>
      <color theme="1"/>
      <name val="Calibri"/>
      <family val="2"/>
      <scheme val="minor"/>
    </font>
    <font>
      <sz val="12"/>
      <color indexed="8"/>
      <name val="Times New Roman"/>
      <family val="1"/>
    </font>
    <font>
      <sz val="11"/>
      <name val="Times New Roman"/>
      <family val="1"/>
    </font>
    <font>
      <sz val="10"/>
      <name val="Arial Narrow"/>
      <family val="2"/>
    </font>
    <font>
      <b/>
      <sz val="12"/>
      <name val="Arial Narrow"/>
      <family val="2"/>
    </font>
    <font>
      <sz val="12"/>
      <color rgb="FFFF0000"/>
      <name val="Times New Roman"/>
      <family val="1"/>
    </font>
    <font>
      <b/>
      <sz val="11"/>
      <name val="Times New Roman"/>
      <family val="1"/>
    </font>
    <font>
      <sz val="12"/>
      <name val="Cambria"/>
      <family val="1"/>
      <scheme val="major"/>
    </font>
    <font>
      <b/>
      <sz val="12"/>
      <color rgb="FF0000CC"/>
      <name val="Times New Roman"/>
      <family val="1"/>
    </font>
    <font>
      <b/>
      <sz val="10"/>
      <color theme="1"/>
      <name val="Arial"/>
      <family val="2"/>
    </font>
    <font>
      <sz val="14"/>
      <color indexed="8"/>
      <name val="Times New Roman"/>
      <family val="1"/>
    </font>
    <font>
      <sz val="14"/>
      <color rgb="FFFF0000"/>
      <name val="Arial Narrow"/>
      <family val="2"/>
    </font>
    <font>
      <sz val="14"/>
      <name val="Arial"/>
      <family val="2"/>
    </font>
    <font>
      <b/>
      <sz val="12"/>
      <color indexed="8"/>
      <name val="Times New Roman"/>
      <family val="1"/>
    </font>
    <font>
      <b/>
      <sz val="12"/>
      <color rgb="FF000000"/>
      <name val="Times New Roman"/>
      <family val="1"/>
    </font>
    <font>
      <b/>
      <u/>
      <sz val="11"/>
      <name val="Times New Roman"/>
      <family val="1"/>
    </font>
    <font>
      <sz val="8"/>
      <name val="Times New Roman"/>
      <family val="1"/>
    </font>
    <font>
      <sz val="11"/>
      <name val="Arial"/>
      <family val="2"/>
    </font>
    <font>
      <sz val="10"/>
      <color rgb="FFFF0000"/>
      <name val="Arial"/>
      <family val="2"/>
    </font>
    <font>
      <b/>
      <u/>
      <sz val="10"/>
      <name val="Arial"/>
      <family val="2"/>
    </font>
    <font>
      <b/>
      <sz val="11"/>
      <name val="Arial"/>
      <family val="2"/>
    </font>
    <font>
      <b/>
      <u/>
      <sz val="11"/>
      <name val="Arial"/>
      <family val="2"/>
    </font>
    <font>
      <b/>
      <u/>
      <sz val="10"/>
      <name val="Arial"/>
      <family val="2"/>
      <charset val="178"/>
    </font>
    <font>
      <b/>
      <sz val="11"/>
      <color theme="1"/>
      <name val="Arial"/>
      <family val="2"/>
    </font>
    <font>
      <b/>
      <sz val="11.5"/>
      <name val="Arial"/>
      <family val="2"/>
    </font>
    <font>
      <sz val="11.5"/>
      <name val="Arial"/>
      <family val="2"/>
    </font>
    <font>
      <b/>
      <sz val="12"/>
      <name val="Arial"/>
      <family val="2"/>
    </font>
    <font>
      <b/>
      <u/>
      <sz val="12"/>
      <name val="Arial"/>
      <family val="2"/>
    </font>
    <font>
      <b/>
      <u/>
      <sz val="10"/>
      <color rgb="FFFF0000"/>
      <name val="Arial"/>
      <family val="2"/>
    </font>
    <font>
      <sz val="9"/>
      <name val="Arial"/>
      <family val="2"/>
    </font>
    <font>
      <sz val="12"/>
      <name val="Times New Roman"/>
      <family val="1"/>
      <charset val="178"/>
    </font>
    <font>
      <sz val="12"/>
      <color rgb="FFFF0000"/>
      <name val="Arial"/>
      <family val="2"/>
    </font>
    <font>
      <b/>
      <sz val="12"/>
      <color indexed="10"/>
      <name val="Times New Roman"/>
      <family val="1"/>
    </font>
    <font>
      <sz val="12"/>
      <color indexed="10"/>
      <name val="Times New Roman"/>
      <family val="1"/>
    </font>
    <font>
      <b/>
      <sz val="11"/>
      <color rgb="FF002060"/>
      <name val="Times New Roman"/>
      <family val="1"/>
    </font>
    <font>
      <sz val="10"/>
      <color theme="1"/>
      <name val="Arial"/>
      <family val="2"/>
    </font>
    <font>
      <sz val="10"/>
      <name val="Arial"/>
      <family val="2"/>
    </font>
    <font>
      <sz val="12"/>
      <name val="Times New Roman"/>
      <family val="1"/>
    </font>
    <font>
      <sz val="11"/>
      <color theme="1"/>
      <name val="Calibri"/>
      <family val="2"/>
      <scheme val="minor"/>
    </font>
    <font>
      <sz val="11"/>
      <name val="Times New Roman"/>
      <family val="1"/>
    </font>
    <font>
      <sz val="12"/>
      <color indexed="8"/>
      <name val="Times New Roman"/>
      <family val="1"/>
    </font>
    <font>
      <b/>
      <sz val="12"/>
      <color indexed="8"/>
      <name val="Times New Roman"/>
      <family val="1"/>
    </font>
    <font>
      <sz val="11"/>
      <color theme="1"/>
      <name val="Calibri"/>
      <family val="2"/>
      <scheme val="minor"/>
    </font>
    <font>
      <sz val="12"/>
      <name val="Times New Roman"/>
      <family val="1"/>
    </font>
    <font>
      <sz val="8"/>
      <color rgb="FF000000"/>
      <name val="Times New Roman"/>
      <family val="1"/>
    </font>
  </fonts>
  <fills count="5">
    <fill>
      <patternFill patternType="none"/>
    </fill>
    <fill>
      <patternFill patternType="gray125"/>
    </fill>
    <fill>
      <patternFill patternType="solid">
        <fgColor theme="0" tint="-0.14996795556505021"/>
        <bgColor indexed="64"/>
      </patternFill>
    </fill>
    <fill>
      <patternFill patternType="solid">
        <fgColor rgb="FF00B050"/>
        <bgColor indexed="64"/>
      </patternFill>
    </fill>
    <fill>
      <patternFill patternType="solid">
        <fgColor rgb="FFFFFF00"/>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auto="1"/>
      </right>
      <top/>
      <bottom/>
      <diagonal/>
    </border>
    <border>
      <left style="thin">
        <color auto="1"/>
      </left>
      <right/>
      <top/>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4">
    <xf numFmtId="0" fontId="0" fillId="0" borderId="0"/>
    <xf numFmtId="0" fontId="3" fillId="0" borderId="0"/>
    <xf numFmtId="0" fontId="7" fillId="0" borderId="0"/>
    <xf numFmtId="0" fontId="11" fillId="0" borderId="0"/>
    <xf numFmtId="0" fontId="7" fillId="0" borderId="0"/>
    <xf numFmtId="164" fontId="7" fillId="0" borderId="0" applyFont="0" applyFill="0" applyBorder="0" applyAlignment="0" applyProtection="0"/>
    <xf numFmtId="164" fontId="3" fillId="0" borderId="0" applyFont="0" applyFill="0" applyBorder="0" applyAlignment="0" applyProtection="0"/>
    <xf numFmtId="0" fontId="11" fillId="0" borderId="0"/>
    <xf numFmtId="1" fontId="41" fillId="0" borderId="12">
      <alignment horizontal="justify" wrapText="1"/>
    </xf>
    <xf numFmtId="0" fontId="7" fillId="0" borderId="0"/>
    <xf numFmtId="167" fontId="1" fillId="0" borderId="0" applyFont="0" applyFill="0" applyBorder="0" applyAlignment="0" applyProtection="0"/>
    <xf numFmtId="0" fontId="46" fillId="0" borderId="0"/>
    <xf numFmtId="0" fontId="47" fillId="0" borderId="0"/>
    <xf numFmtId="43" fontId="47" fillId="0" borderId="0" applyFont="0" applyFill="0" applyBorder="0" applyAlignment="0" applyProtection="0"/>
    <xf numFmtId="167" fontId="53" fillId="0" borderId="0" applyFont="0" applyFill="0" applyBorder="0" applyAlignment="0" applyProtection="0"/>
    <xf numFmtId="43" fontId="47" fillId="0" borderId="0" applyFont="0" applyFill="0" applyBorder="0" applyAlignment="0" applyProtection="0"/>
    <xf numFmtId="0" fontId="47" fillId="0" borderId="0"/>
    <xf numFmtId="1" fontId="54" fillId="0" borderId="12">
      <alignment horizontal="justify" wrapText="1"/>
    </xf>
    <xf numFmtId="0" fontId="47" fillId="0" borderId="0"/>
    <xf numFmtId="0" fontId="47" fillId="0" borderId="0"/>
    <xf numFmtId="0" fontId="49" fillId="0" borderId="0"/>
    <xf numFmtId="0" fontId="49" fillId="0" borderId="0"/>
    <xf numFmtId="43" fontId="46" fillId="0" borderId="0" applyFont="0" applyFill="0" applyBorder="0" applyAlignment="0" applyProtection="0"/>
    <xf numFmtId="0" fontId="11" fillId="0" borderId="0"/>
  </cellStyleXfs>
  <cellXfs count="264">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165" fontId="2" fillId="0" borderId="0" xfId="0" applyNumberFormat="1" applyFont="1" applyAlignment="1">
      <alignment horizontal="right" vertical="top"/>
    </xf>
    <xf numFmtId="0" fontId="4" fillId="0" borderId="0" xfId="1" applyFont="1"/>
    <xf numFmtId="0" fontId="6" fillId="0" borderId="0" xfId="0" applyFont="1" applyAlignment="1">
      <alignment horizontal="center" vertical="top"/>
    </xf>
    <xf numFmtId="0" fontId="5" fillId="0" borderId="0" xfId="0" applyFont="1" applyAlignment="1">
      <alignment horizontal="left" vertical="top"/>
    </xf>
    <xf numFmtId="0" fontId="5" fillId="0" borderId="0" xfId="0" applyFont="1" applyAlignment="1">
      <alignment horizontal="center" vertical="top"/>
    </xf>
    <xf numFmtId="166" fontId="7" fillId="0" borderId="0" xfId="0" applyNumberFormat="1" applyFont="1" applyAlignment="1">
      <alignment horizontal="center" vertical="top"/>
    </xf>
    <xf numFmtId="165" fontId="5" fillId="0" borderId="0" xfId="0" applyNumberFormat="1" applyFont="1" applyAlignment="1">
      <alignment horizontal="right" vertical="top"/>
    </xf>
    <xf numFmtId="0" fontId="5" fillId="0" borderId="1" xfId="0" applyFont="1" applyBorder="1" applyAlignment="1">
      <alignment horizontal="center" vertical="top"/>
    </xf>
    <xf numFmtId="0" fontId="5" fillId="0" borderId="3" xfId="0" applyFont="1" applyBorder="1" applyAlignment="1">
      <alignment horizontal="center" vertical="top"/>
    </xf>
    <xf numFmtId="0" fontId="5" fillId="0" borderId="4" xfId="0" applyFont="1" applyBorder="1" applyAlignment="1">
      <alignment horizontal="center" vertical="top"/>
    </xf>
    <xf numFmtId="165" fontId="5" fillId="0" borderId="4" xfId="0" applyNumberFormat="1" applyFont="1" applyBorder="1" applyAlignment="1">
      <alignment horizontal="center" vertical="top"/>
    </xf>
    <xf numFmtId="165" fontId="5" fillId="0" borderId="5" xfId="0" applyNumberFormat="1" applyFont="1" applyBorder="1" applyAlignment="1">
      <alignment horizontal="center" vertical="top"/>
    </xf>
    <xf numFmtId="0" fontId="4" fillId="0" borderId="0" xfId="2" applyFont="1" applyAlignment="1">
      <alignment vertical="center"/>
    </xf>
    <xf numFmtId="0" fontId="8" fillId="0" borderId="6" xfId="2" applyFont="1" applyBorder="1" applyAlignment="1">
      <alignment horizontal="center" vertical="center" wrapText="1" readingOrder="1"/>
    </xf>
    <xf numFmtId="0" fontId="9" fillId="0" borderId="6" xfId="2" applyFont="1" applyBorder="1" applyAlignment="1">
      <alignment horizontal="center" vertical="top" wrapText="1" readingOrder="1"/>
    </xf>
    <xf numFmtId="0" fontId="10" fillId="0" borderId="6" xfId="2" applyFont="1" applyBorder="1" applyAlignment="1">
      <alignment horizontal="center" vertical="top" wrapText="1" readingOrder="1"/>
    </xf>
    <xf numFmtId="3" fontId="10" fillId="0" borderId="6" xfId="2" applyNumberFormat="1" applyFont="1" applyBorder="1" applyAlignment="1" applyProtection="1">
      <alignment horizontal="left" vertical="top" wrapText="1" readingOrder="1"/>
      <protection locked="0"/>
    </xf>
    <xf numFmtId="0" fontId="3" fillId="0" borderId="0" xfId="1"/>
    <xf numFmtId="2" fontId="8" fillId="0" borderId="7" xfId="1" applyNumberFormat="1" applyFont="1" applyBorder="1" applyAlignment="1">
      <alignment horizontal="center" vertical="center" wrapText="1" readingOrder="1"/>
    </xf>
    <xf numFmtId="0" fontId="9" fillId="0" borderId="7" xfId="1" applyFont="1" applyBorder="1" applyAlignment="1">
      <alignment horizontal="left" wrapText="1" readingOrder="1"/>
    </xf>
    <xf numFmtId="0" fontId="10" fillId="0" borderId="7" xfId="1" applyFont="1" applyBorder="1" applyAlignment="1">
      <alignment horizontal="center" vertical="top" wrapText="1" readingOrder="1"/>
    </xf>
    <xf numFmtId="3" fontId="10" fillId="0" borderId="7" xfId="1" applyNumberFormat="1" applyFont="1" applyBorder="1" applyAlignment="1">
      <alignment horizontal="center" vertical="center" wrapText="1" readingOrder="1"/>
    </xf>
    <xf numFmtId="3" fontId="10" fillId="0" borderId="7" xfId="1" applyNumberFormat="1" applyFont="1" applyBorder="1" applyAlignment="1" applyProtection="1">
      <alignment horizontal="left" vertical="center" wrapText="1" readingOrder="1"/>
      <protection locked="0"/>
    </xf>
    <xf numFmtId="0" fontId="12" fillId="0" borderId="7" xfId="3" applyFont="1" applyBorder="1" applyAlignment="1">
      <alignment horizontal="left" vertical="center" wrapText="1"/>
    </xf>
    <xf numFmtId="0" fontId="13" fillId="0" borderId="7" xfId="1" applyFont="1" applyBorder="1" applyAlignment="1">
      <alignment horizontal="center" vertical="top" wrapText="1" readingOrder="1"/>
    </xf>
    <xf numFmtId="0" fontId="14" fillId="0" borderId="7" xfId="1" applyFont="1" applyBorder="1" applyAlignment="1">
      <alignment horizontal="left" vertical="top" wrapText="1"/>
    </xf>
    <xf numFmtId="0" fontId="14" fillId="0" borderId="7" xfId="4" applyFont="1" applyBorder="1" applyAlignment="1">
      <alignment horizontal="center" vertical="top"/>
    </xf>
    <xf numFmtId="4" fontId="14" fillId="0" borderId="7" xfId="4" applyNumberFormat="1" applyFont="1" applyBorder="1" applyAlignment="1">
      <alignment horizontal="center" vertical="top"/>
    </xf>
    <xf numFmtId="3" fontId="15" fillId="0" borderId="7" xfId="4" applyNumberFormat="1" applyFont="1" applyBorder="1" applyAlignment="1">
      <alignment horizontal="center" vertical="center"/>
    </xf>
    <xf numFmtId="0" fontId="10" fillId="0" borderId="7" xfId="1" applyFont="1" applyBorder="1" applyAlignment="1">
      <alignment horizontal="left" vertical="top" wrapText="1" readingOrder="1"/>
    </xf>
    <xf numFmtId="0" fontId="13" fillId="0" borderId="7" xfId="1" applyFont="1" applyBorder="1" applyAlignment="1">
      <alignment horizontal="left" vertical="center" wrapText="1" readingOrder="1"/>
    </xf>
    <xf numFmtId="0" fontId="13" fillId="0" borderId="7" xfId="1" applyFont="1" applyBorder="1" applyAlignment="1">
      <alignment horizontal="center" vertical="center" wrapText="1" readingOrder="1"/>
    </xf>
    <xf numFmtId="0" fontId="13" fillId="0" borderId="8" xfId="1" applyFont="1" applyBorder="1" applyAlignment="1">
      <alignment horizontal="center" vertical="center" wrapText="1" readingOrder="1"/>
    </xf>
    <xf numFmtId="1" fontId="13" fillId="0" borderId="7" xfId="1" applyNumberFormat="1" applyFont="1" applyBorder="1" applyAlignment="1">
      <alignment horizontal="center" vertical="center" wrapText="1" readingOrder="1"/>
    </xf>
    <xf numFmtId="0" fontId="3" fillId="0" borderId="0" xfId="1" applyAlignment="1">
      <alignment wrapText="1"/>
    </xf>
    <xf numFmtId="0" fontId="4" fillId="0" borderId="0" xfId="1" applyFont="1" applyAlignment="1">
      <alignment horizontal="center"/>
    </xf>
    <xf numFmtId="0" fontId="13" fillId="0" borderId="10" xfId="1" applyFont="1" applyBorder="1" applyAlignment="1">
      <alignment horizontal="center" vertical="top" wrapText="1" readingOrder="1"/>
    </xf>
    <xf numFmtId="0" fontId="18" fillId="0" borderId="10" xfId="1" applyFont="1" applyBorder="1" applyAlignment="1">
      <alignment wrapText="1"/>
    </xf>
    <xf numFmtId="3" fontId="19" fillId="0" borderId="7" xfId="5" applyNumberFormat="1" applyFont="1" applyFill="1" applyBorder="1" applyAlignment="1" applyProtection="1">
      <alignment horizontal="center" vertical="center" wrapText="1" readingOrder="1"/>
      <protection locked="0"/>
    </xf>
    <xf numFmtId="164" fontId="19" fillId="0" borderId="7" xfId="6" applyFont="1" applyFill="1" applyBorder="1" applyAlignment="1" applyProtection="1">
      <alignment horizontal="center" vertical="center" wrapText="1" readingOrder="1"/>
      <protection locked="0"/>
    </xf>
    <xf numFmtId="0" fontId="20" fillId="0" borderId="1" xfId="0" applyFont="1" applyBorder="1" applyAlignment="1">
      <alignment horizontal="left" vertical="top"/>
    </xf>
    <xf numFmtId="0" fontId="20" fillId="0" borderId="2" xfId="0" applyFont="1" applyBorder="1" applyAlignment="1">
      <alignment vertical="top"/>
    </xf>
    <xf numFmtId="0" fontId="20" fillId="0" borderId="2" xfId="0" applyFont="1" applyBorder="1" applyAlignment="1">
      <alignment horizontal="left" vertical="top" wrapText="1"/>
    </xf>
    <xf numFmtId="0" fontId="20" fillId="0" borderId="2" xfId="0" applyFont="1" applyBorder="1" applyAlignment="1">
      <alignment horizontal="center" vertical="top"/>
    </xf>
    <xf numFmtId="165" fontId="20" fillId="0" borderId="4" xfId="0" applyNumberFormat="1" applyFont="1" applyBorder="1" applyAlignment="1">
      <alignment horizontal="right" vertical="top"/>
    </xf>
    <xf numFmtId="165" fontId="20" fillId="0" borderId="5" xfId="0" applyNumberFormat="1" applyFont="1" applyBorder="1" applyAlignment="1">
      <alignment horizontal="right" vertical="top"/>
    </xf>
    <xf numFmtId="0" fontId="4" fillId="0" borderId="0" xfId="2" applyFont="1" applyAlignment="1">
      <alignment horizontal="center" vertical="center"/>
    </xf>
    <xf numFmtId="0" fontId="4" fillId="0" borderId="0" xfId="2" applyFont="1"/>
    <xf numFmtId="0" fontId="4" fillId="0" borderId="0" xfId="2" applyFont="1" applyAlignment="1">
      <alignment horizontal="center"/>
    </xf>
    <xf numFmtId="3" fontId="4" fillId="0" borderId="0" xfId="2" applyNumberFormat="1" applyFont="1"/>
    <xf numFmtId="0" fontId="11" fillId="0" borderId="0" xfId="7"/>
    <xf numFmtId="0" fontId="21" fillId="0" borderId="7" xfId="3" applyFont="1" applyBorder="1" applyAlignment="1">
      <alignment horizontal="left" vertical="center" wrapText="1"/>
    </xf>
    <xf numFmtId="0" fontId="10" fillId="0" borderId="7" xfId="1" applyFont="1" applyBorder="1" applyAlignment="1">
      <alignment horizontal="center" vertical="center" wrapText="1" readingOrder="1"/>
    </xf>
    <xf numFmtId="0" fontId="23" fillId="0" borderId="0" xfId="1" applyFont="1" applyAlignment="1">
      <alignment wrapText="1"/>
    </xf>
    <xf numFmtId="0" fontId="7" fillId="0" borderId="0" xfId="1" applyFont="1" applyAlignment="1">
      <alignment wrapText="1"/>
    </xf>
    <xf numFmtId="2" fontId="13" fillId="0" borderId="7" xfId="1" applyNumberFormat="1" applyFont="1" applyBorder="1" applyAlignment="1">
      <alignment horizontal="center" vertical="center" wrapText="1" readingOrder="1"/>
    </xf>
    <xf numFmtId="0" fontId="11" fillId="0" borderId="0" xfId="3"/>
    <xf numFmtId="0" fontId="24" fillId="0" borderId="7" xfId="3" applyFont="1" applyBorder="1" applyAlignment="1">
      <alignment horizontal="left" vertical="center" wrapText="1"/>
    </xf>
    <xf numFmtId="0" fontId="8" fillId="0" borderId="6" xfId="1" applyFont="1" applyBorder="1" applyAlignment="1">
      <alignment horizontal="center" vertical="center" wrapText="1" readingOrder="1"/>
    </xf>
    <xf numFmtId="0" fontId="9" fillId="0" borderId="6" xfId="1" applyFont="1" applyBorder="1" applyAlignment="1">
      <alignment horizontal="center" vertical="top" wrapText="1" readingOrder="1"/>
    </xf>
    <xf numFmtId="0" fontId="10" fillId="0" borderId="6" xfId="1" applyFont="1" applyBorder="1" applyAlignment="1">
      <alignment horizontal="center" vertical="top" wrapText="1" readingOrder="1"/>
    </xf>
    <xf numFmtId="3" fontId="10" fillId="0" borderId="6" xfId="1" applyNumberFormat="1" applyFont="1" applyBorder="1" applyAlignment="1" applyProtection="1">
      <alignment horizontal="left" vertical="top" wrapText="1" readingOrder="1"/>
      <protection locked="0"/>
    </xf>
    <xf numFmtId="0" fontId="9" fillId="0" borderId="7" xfId="1" applyFont="1" applyBorder="1" applyAlignment="1">
      <alignment vertical="top" wrapText="1" readingOrder="1"/>
    </xf>
    <xf numFmtId="165" fontId="17" fillId="0" borderId="7" xfId="1" applyNumberFormat="1" applyFont="1" applyBorder="1" applyAlignment="1">
      <alignment horizontal="center" vertical="top" wrapText="1" readingOrder="1"/>
    </xf>
    <xf numFmtId="0" fontId="26" fillId="0" borderId="7" xfId="1" applyFont="1" applyBorder="1" applyAlignment="1">
      <alignment horizontal="left" vertical="center" wrapText="1" readingOrder="1"/>
    </xf>
    <xf numFmtId="3" fontId="13" fillId="0" borderId="7" xfId="5" applyNumberFormat="1" applyFont="1" applyFill="1" applyBorder="1" applyAlignment="1" applyProtection="1">
      <alignment horizontal="left" vertical="center" wrapText="1" readingOrder="1"/>
      <protection locked="0"/>
    </xf>
    <xf numFmtId="166" fontId="13" fillId="0" borderId="7" xfId="1" applyNumberFormat="1" applyFont="1" applyBorder="1" applyAlignment="1">
      <alignment horizontal="center" vertical="center" wrapText="1" readingOrder="1"/>
    </xf>
    <xf numFmtId="0" fontId="10" fillId="0" borderId="7" xfId="1" applyFont="1" applyBorder="1" applyAlignment="1">
      <alignment horizontal="left" vertical="center" wrapText="1" readingOrder="1"/>
    </xf>
    <xf numFmtId="0" fontId="28" fillId="0" borderId="7" xfId="1" applyFont="1" applyBorder="1"/>
    <xf numFmtId="0" fontId="0" fillId="0" borderId="14" xfId="0" applyBorder="1" applyAlignment="1">
      <alignment horizontal="center" vertical="top" wrapText="1"/>
    </xf>
    <xf numFmtId="166" fontId="0" fillId="0" borderId="12" xfId="0" applyNumberFormat="1" applyBorder="1" applyAlignment="1">
      <alignment horizontal="center" vertical="top"/>
    </xf>
    <xf numFmtId="0" fontId="0" fillId="0" borderId="0" xfId="0" applyAlignment="1">
      <alignment horizontal="left" vertical="top" wrapText="1"/>
    </xf>
    <xf numFmtId="165" fontId="0" fillId="0" borderId="12" xfId="0" applyNumberFormat="1" applyBorder="1" applyAlignment="1">
      <alignment horizontal="center" vertical="top"/>
    </xf>
    <xf numFmtId="0" fontId="0" fillId="0" borderId="12" xfId="0" applyBorder="1" applyAlignment="1">
      <alignment horizontal="center" vertical="top"/>
    </xf>
    <xf numFmtId="165" fontId="0" fillId="0" borderId="12" xfId="0" applyNumberFormat="1" applyBorder="1" applyAlignment="1" applyProtection="1">
      <alignment horizontal="right" vertical="top"/>
      <protection locked="0"/>
    </xf>
    <xf numFmtId="165" fontId="0" fillId="0" borderId="15" xfId="0" applyNumberFormat="1" applyBorder="1" applyAlignment="1">
      <alignment horizontal="right" vertical="top"/>
    </xf>
    <xf numFmtId="166" fontId="0" fillId="0" borderId="12" xfId="0" applyNumberFormat="1" applyBorder="1" applyAlignment="1">
      <alignment horizontal="center" vertical="top" wrapText="1"/>
    </xf>
    <xf numFmtId="0" fontId="5" fillId="0" borderId="0" xfId="0" applyFont="1" applyAlignment="1">
      <alignment horizontal="left" vertical="center" wrapText="1"/>
    </xf>
    <xf numFmtId="0" fontId="5" fillId="0" borderId="0" xfId="0" applyFont="1" applyAlignment="1">
      <alignment horizontal="left" vertical="top" wrapText="1"/>
    </xf>
    <xf numFmtId="165" fontId="7" fillId="0" borderId="0" xfId="0" applyNumberFormat="1" applyFont="1" applyAlignment="1">
      <alignment horizontal="center" vertical="top"/>
    </xf>
    <xf numFmtId="0" fontId="0" fillId="0" borderId="0" xfId="0" applyAlignment="1">
      <alignment vertical="top"/>
    </xf>
    <xf numFmtId="165" fontId="5" fillId="0" borderId="0" xfId="0" applyNumberFormat="1" applyFont="1" applyAlignment="1">
      <alignment horizontal="center" vertical="top"/>
    </xf>
    <xf numFmtId="0" fontId="5" fillId="0" borderId="4" xfId="0" applyFont="1" applyBorder="1" applyAlignment="1">
      <alignment horizontal="center" vertical="top" wrapText="1"/>
    </xf>
    <xf numFmtId="0" fontId="0" fillId="0" borderId="0" xfId="0" applyAlignment="1" applyProtection="1">
      <alignment vertical="top"/>
      <protection locked="0"/>
    </xf>
    <xf numFmtId="0" fontId="20" fillId="0" borderId="14" xfId="0" applyFont="1" applyBorder="1" applyAlignment="1">
      <alignment horizontal="center" vertical="top"/>
    </xf>
    <xf numFmtId="49" fontId="0" fillId="0" borderId="12" xfId="0" applyNumberFormat="1" applyBorder="1" applyAlignment="1">
      <alignment horizontal="center" vertical="top" wrapText="1"/>
    </xf>
    <xf numFmtId="0" fontId="7" fillId="0" borderId="0" xfId="0" applyFont="1" applyAlignment="1">
      <alignment vertical="top" wrapText="1"/>
    </xf>
    <xf numFmtId="4" fontId="0" fillId="0" borderId="12" xfId="0" applyNumberFormat="1" applyBorder="1" applyAlignment="1">
      <alignment horizontal="center" vertical="top" wrapText="1"/>
    </xf>
    <xf numFmtId="3" fontId="0" fillId="0" borderId="12" xfId="0" applyNumberFormat="1" applyBorder="1" applyAlignment="1">
      <alignment horizontal="center" vertical="top" wrapText="1"/>
    </xf>
    <xf numFmtId="3" fontId="7" fillId="0" borderId="12" xfId="0" applyNumberFormat="1" applyFont="1" applyBorder="1" applyAlignment="1">
      <alignment horizontal="center" vertical="top" wrapText="1"/>
    </xf>
    <xf numFmtId="0" fontId="29" fillId="0" borderId="12" xfId="0" applyFont="1" applyBorder="1" applyAlignment="1">
      <alignment horizontal="left" vertical="center" wrapText="1"/>
    </xf>
    <xf numFmtId="0" fontId="7" fillId="0" borderId="12" xfId="0" applyFont="1" applyBorder="1" applyAlignment="1">
      <alignment horizontal="center" vertical="center"/>
    </xf>
    <xf numFmtId="0" fontId="0" fillId="0" borderId="14" xfId="0" applyBorder="1" applyAlignment="1">
      <alignment horizontal="center" vertical="top"/>
    </xf>
    <xf numFmtId="49" fontId="20" fillId="0" borderId="12" xfId="0" applyNumberFormat="1" applyFont="1" applyBorder="1" applyAlignment="1">
      <alignment horizontal="center" vertical="top" wrapText="1"/>
    </xf>
    <xf numFmtId="4" fontId="20" fillId="0" borderId="0" xfId="0" applyNumberFormat="1" applyFont="1" applyAlignment="1">
      <alignment horizontal="left" vertical="top" wrapText="1"/>
    </xf>
    <xf numFmtId="0" fontId="7" fillId="0" borderId="12" xfId="0" applyFont="1" applyBorder="1" applyAlignment="1">
      <alignment horizontal="center" vertical="top"/>
    </xf>
    <xf numFmtId="4" fontId="0" fillId="0" borderId="0" xfId="0" applyNumberFormat="1" applyAlignment="1">
      <alignment horizontal="left" vertical="top" wrapText="1"/>
    </xf>
    <xf numFmtId="166" fontId="7" fillId="0" borderId="12" xfId="0" applyNumberFormat="1" applyFont="1" applyBorder="1" applyAlignment="1">
      <alignment horizontal="center" vertical="top"/>
    </xf>
    <xf numFmtId="166" fontId="7" fillId="0" borderId="12" xfId="0" applyNumberFormat="1" applyFont="1" applyBorder="1" applyAlignment="1">
      <alignment vertical="top"/>
    </xf>
    <xf numFmtId="3" fontId="7" fillId="0" borderId="12" xfId="0" applyNumberFormat="1" applyFont="1" applyBorder="1" applyAlignment="1">
      <alignment horizontal="center" vertical="center" wrapText="1"/>
    </xf>
    <xf numFmtId="4" fontId="0" fillId="0" borderId="12" xfId="0" applyNumberFormat="1" applyBorder="1" applyAlignment="1">
      <alignment horizontal="center" vertical="center" wrapText="1"/>
    </xf>
    <xf numFmtId="3" fontId="0" fillId="0" borderId="12" xfId="0" applyNumberFormat="1" applyBorder="1" applyAlignment="1">
      <alignment horizontal="center" vertical="center" wrapText="1"/>
    </xf>
    <xf numFmtId="0" fontId="7" fillId="0" borderId="0" xfId="0" applyFont="1" applyAlignment="1">
      <alignment vertical="center" wrapText="1"/>
    </xf>
    <xf numFmtId="0" fontId="5" fillId="0" borderId="0" xfId="0" applyFont="1" applyAlignment="1">
      <alignment vertical="top" wrapText="1"/>
    </xf>
    <xf numFmtId="0" fontId="0" fillId="0" borderId="12" xfId="0" applyBorder="1" applyAlignment="1">
      <alignment horizontal="left" vertical="top" wrapText="1"/>
    </xf>
    <xf numFmtId="1" fontId="0" fillId="0" borderId="12" xfId="0" applyNumberFormat="1" applyBorder="1" applyAlignment="1">
      <alignment horizontal="center" vertical="top"/>
    </xf>
    <xf numFmtId="0" fontId="0" fillId="0" borderId="0" xfId="0" applyAlignment="1">
      <alignment horizontal="center" vertical="top"/>
    </xf>
    <xf numFmtId="165" fontId="0" fillId="0" borderId="0" xfId="0" applyNumberFormat="1" applyAlignment="1">
      <alignment horizontal="center" vertical="top"/>
    </xf>
    <xf numFmtId="165" fontId="0" fillId="0" borderId="0" xfId="0" applyNumberFormat="1" applyAlignment="1">
      <alignment horizontal="right" vertical="top"/>
    </xf>
    <xf numFmtId="0" fontId="20" fillId="0" borderId="14" xfId="0" applyFont="1" applyBorder="1" applyAlignment="1">
      <alignment horizontal="center" vertical="top" wrapText="1"/>
    </xf>
    <xf numFmtId="0" fontId="0" fillId="0" borderId="0" xfId="0" applyAlignment="1">
      <alignment horizontal="left" vertical="top"/>
    </xf>
    <xf numFmtId="49" fontId="7" fillId="0" borderId="12" xfId="0" applyNumberFormat="1" applyFont="1" applyBorder="1" applyAlignment="1">
      <alignment horizontal="center" vertical="center"/>
    </xf>
    <xf numFmtId="0" fontId="30" fillId="0" borderId="12" xfId="0" applyFont="1" applyBorder="1" applyAlignment="1">
      <alignment horizontal="left" vertical="center"/>
    </xf>
    <xf numFmtId="165" fontId="7" fillId="0" borderId="12" xfId="0" applyNumberFormat="1" applyFont="1" applyBorder="1" applyAlignment="1">
      <alignment vertical="center"/>
    </xf>
    <xf numFmtId="0" fontId="7" fillId="0" borderId="12" xfId="0" applyFont="1" applyBorder="1" applyAlignment="1">
      <alignment horizontal="left" vertical="center"/>
    </xf>
    <xf numFmtId="49" fontId="31" fillId="0" borderId="12" xfId="0" applyNumberFormat="1" applyFont="1" applyBorder="1" applyAlignment="1">
      <alignment horizontal="center" vertical="center"/>
    </xf>
    <xf numFmtId="0" fontId="32" fillId="0" borderId="12" xfId="0" applyFont="1" applyBorder="1" applyAlignment="1">
      <alignment horizontal="left" vertical="center"/>
    </xf>
    <xf numFmtId="0" fontId="0" fillId="0" borderId="12" xfId="0" applyBorder="1" applyAlignment="1">
      <alignment horizontal="center" vertical="center"/>
    </xf>
    <xf numFmtId="49" fontId="0" fillId="0" borderId="12" xfId="0" applyNumberFormat="1" applyBorder="1" applyAlignment="1">
      <alignment horizontal="center" vertical="center"/>
    </xf>
    <xf numFmtId="0" fontId="0" fillId="0" borderId="12" xfId="0" applyBorder="1" applyAlignment="1">
      <alignment horizontal="left" vertical="center"/>
    </xf>
    <xf numFmtId="3" fontId="7" fillId="0" borderId="12" xfId="0" applyNumberFormat="1" applyFont="1" applyBorder="1" applyAlignment="1">
      <alignment horizontal="center" vertical="center"/>
    </xf>
    <xf numFmtId="3" fontId="7" fillId="0" borderId="12" xfId="0" applyNumberFormat="1" applyFont="1" applyBorder="1" applyAlignment="1">
      <alignment vertical="center"/>
    </xf>
    <xf numFmtId="49" fontId="5" fillId="0" borderId="12" xfId="0" applyNumberFormat="1" applyFont="1" applyBorder="1" applyAlignment="1">
      <alignment horizontal="center" vertical="center"/>
    </xf>
    <xf numFmtId="0" fontId="30" fillId="0" borderId="12" xfId="0" applyFont="1" applyBorder="1" applyAlignment="1">
      <alignment horizontal="left" vertical="center" wrapText="1"/>
    </xf>
    <xf numFmtId="49" fontId="20" fillId="0" borderId="12" xfId="0" applyNumberFormat="1" applyFont="1" applyBorder="1" applyAlignment="1">
      <alignment horizontal="center" vertical="center"/>
    </xf>
    <xf numFmtId="0" fontId="33" fillId="0" borderId="12" xfId="0" applyFont="1" applyBorder="1" applyAlignment="1">
      <alignment horizontal="left" vertical="center"/>
    </xf>
    <xf numFmtId="0" fontId="6" fillId="0" borderId="12" xfId="0" applyFont="1" applyBorder="1" applyAlignment="1">
      <alignment horizontal="center" wrapText="1"/>
    </xf>
    <xf numFmtId="49" fontId="5" fillId="0" borderId="12" xfId="0" applyNumberFormat="1" applyFont="1" applyBorder="1" applyAlignment="1">
      <alignment horizontal="center" vertical="top" wrapText="1"/>
    </xf>
    <xf numFmtId="49" fontId="6" fillId="0" borderId="12" xfId="0" applyNumberFormat="1" applyFont="1" applyBorder="1" applyAlignment="1">
      <alignment horizontal="center" vertical="top" wrapText="1"/>
    </xf>
    <xf numFmtId="0" fontId="7" fillId="0" borderId="12" xfId="0" applyFont="1" applyBorder="1" applyAlignment="1">
      <alignment horizontal="center"/>
    </xf>
    <xf numFmtId="0" fontId="20" fillId="0" borderId="16" xfId="0" applyFont="1" applyBorder="1" applyAlignment="1">
      <alignment horizontal="center" vertical="top"/>
    </xf>
    <xf numFmtId="49" fontId="7" fillId="0" borderId="12" xfId="0" applyNumberFormat="1" applyFont="1" applyBorder="1" applyAlignment="1">
      <alignment horizontal="center"/>
    </xf>
    <xf numFmtId="165" fontId="20" fillId="0" borderId="12" xfId="0" applyNumberFormat="1" applyFont="1" applyBorder="1" applyAlignment="1">
      <alignment horizontal="right" vertical="top"/>
    </xf>
    <xf numFmtId="165" fontId="20" fillId="0" borderId="15" xfId="0" applyNumberFormat="1" applyFont="1" applyBorder="1" applyAlignment="1">
      <alignment horizontal="right" vertical="top"/>
    </xf>
    <xf numFmtId="0" fontId="7" fillId="0" borderId="12" xfId="0" applyFont="1" applyBorder="1" applyAlignment="1">
      <alignment horizontal="center" wrapText="1"/>
    </xf>
    <xf numFmtId="49" fontId="6" fillId="0" borderId="12" xfId="0" applyNumberFormat="1" applyFont="1" applyBorder="1" applyAlignment="1">
      <alignment horizontal="center" vertical="center" wrapText="1"/>
    </xf>
    <xf numFmtId="0" fontId="7" fillId="0" borderId="12" xfId="0" applyFont="1" applyBorder="1" applyAlignment="1">
      <alignment vertical="center"/>
    </xf>
    <xf numFmtId="49" fontId="34" fillId="0" borderId="12" xfId="0" applyNumberFormat="1" applyFont="1" applyBorder="1" applyAlignment="1">
      <alignment horizontal="center" vertical="center"/>
    </xf>
    <xf numFmtId="0" fontId="7" fillId="0" borderId="12" xfId="0" applyFont="1" applyBorder="1"/>
    <xf numFmtId="0" fontId="0" fillId="0" borderId="12" xfId="0" applyBorder="1" applyAlignment="1">
      <alignment horizontal="left" vertical="center" wrapText="1"/>
    </xf>
    <xf numFmtId="0" fontId="7" fillId="0" borderId="12" xfId="0" applyFont="1" applyBorder="1" applyAlignment="1">
      <alignment horizontal="left" vertical="center" wrapText="1"/>
    </xf>
    <xf numFmtId="49" fontId="5" fillId="0" borderId="12" xfId="0" applyNumberFormat="1" applyFont="1" applyBorder="1" applyAlignment="1">
      <alignment horizontal="center"/>
    </xf>
    <xf numFmtId="0" fontId="30" fillId="0" borderId="12" xfId="0" applyFont="1" applyBorder="1"/>
    <xf numFmtId="0" fontId="30" fillId="0" borderId="12" xfId="0" applyFont="1" applyBorder="1" applyAlignment="1">
      <alignment horizontal="left"/>
    </xf>
    <xf numFmtId="49" fontId="35" fillId="0" borderId="12" xfId="0" applyNumberFormat="1" applyFont="1" applyBorder="1" applyAlignment="1">
      <alignment horizontal="center" vertical="top" wrapText="1"/>
    </xf>
    <xf numFmtId="49" fontId="36" fillId="0" borderId="12" xfId="0" applyNumberFormat="1" applyFont="1" applyBorder="1" applyAlignment="1">
      <alignment horizontal="center" vertical="top" wrapText="1"/>
    </xf>
    <xf numFmtId="0" fontId="7" fillId="0" borderId="12" xfId="0" applyFont="1" applyBorder="1" applyAlignment="1">
      <alignment horizontal="left"/>
    </xf>
    <xf numFmtId="49" fontId="7" fillId="0" borderId="12" xfId="0" applyNumberFormat="1" applyFont="1" applyBorder="1" applyAlignment="1">
      <alignment horizontal="center" vertical="top" wrapText="1"/>
    </xf>
    <xf numFmtId="0" fontId="7" fillId="0" borderId="12" xfId="0" applyFont="1" applyBorder="1" applyAlignment="1">
      <alignment horizontal="left" wrapText="1"/>
    </xf>
    <xf numFmtId="49" fontId="37" fillId="0" borderId="12" xfId="0" applyNumberFormat="1" applyFont="1" applyBorder="1" applyAlignment="1">
      <alignment horizontal="center" vertical="center"/>
    </xf>
    <xf numFmtId="0" fontId="38" fillId="0" borderId="12" xfId="0" applyFont="1" applyBorder="1" applyAlignment="1">
      <alignment horizontal="left" vertical="center"/>
    </xf>
    <xf numFmtId="0" fontId="29" fillId="0" borderId="12" xfId="0" applyFont="1" applyBorder="1" applyAlignment="1">
      <alignment horizontal="center" vertical="center"/>
    </xf>
    <xf numFmtId="0" fontId="40" fillId="0" borderId="12" xfId="0" applyFont="1" applyBorder="1" applyAlignment="1">
      <alignment horizontal="left" vertical="center" wrapText="1"/>
    </xf>
    <xf numFmtId="0" fontId="5" fillId="0" borderId="12" xfId="0" applyFont="1" applyBorder="1" applyAlignment="1">
      <alignment horizontal="centerContinuous" vertical="center"/>
    </xf>
    <xf numFmtId="49" fontId="5" fillId="0" borderId="12" xfId="0" applyNumberFormat="1" applyFont="1" applyBorder="1" applyAlignment="1">
      <alignment vertical="center"/>
    </xf>
    <xf numFmtId="1" fontId="40" fillId="0" borderId="12" xfId="8" applyFont="1" applyAlignment="1">
      <alignment vertical="top" wrapText="1"/>
    </xf>
    <xf numFmtId="1" fontId="40" fillId="0" borderId="12" xfId="8" applyFont="1" applyAlignment="1">
      <alignment horizontal="left" vertical="center" wrapText="1" readingOrder="1"/>
    </xf>
    <xf numFmtId="1" fontId="40" fillId="0" borderId="12" xfId="8" applyFont="1" applyAlignment="1">
      <alignment horizontal="left" vertical="top" wrapText="1" readingOrder="1"/>
    </xf>
    <xf numFmtId="0" fontId="20" fillId="0" borderId="2" xfId="0" applyFont="1" applyBorder="1" applyAlignment="1">
      <alignment horizontal="left" vertical="top"/>
    </xf>
    <xf numFmtId="3" fontId="20" fillId="0" borderId="2" xfId="0" applyNumberFormat="1" applyFont="1" applyBorder="1" applyAlignment="1">
      <alignment horizontal="center" vertical="top"/>
    </xf>
    <xf numFmtId="0" fontId="34" fillId="0" borderId="17" xfId="9" applyFont="1" applyBorder="1" applyAlignment="1">
      <alignment horizontal="center" vertical="center"/>
    </xf>
    <xf numFmtId="0" fontId="34" fillId="0" borderId="17" xfId="9" applyFont="1" applyBorder="1"/>
    <xf numFmtId="43" fontId="34" fillId="0" borderId="17" xfId="10" applyNumberFormat="1" applyFont="1" applyFill="1" applyBorder="1" applyAlignment="1">
      <alignment vertical="center"/>
    </xf>
    <xf numFmtId="0" fontId="7" fillId="0" borderId="12" xfId="0" applyFont="1" applyBorder="1" applyAlignment="1">
      <alignment horizontal="center" vertical="center" wrapText="1"/>
    </xf>
    <xf numFmtId="0" fontId="32" fillId="0" borderId="12" xfId="0" applyFont="1" applyBorder="1" applyAlignment="1">
      <alignment horizontal="left" vertical="center" wrapText="1"/>
    </xf>
    <xf numFmtId="0" fontId="13" fillId="0" borderId="7" xfId="1" applyFont="1" applyBorder="1" applyAlignment="1">
      <alignment horizontal="justify" vertical="center" wrapText="1" readingOrder="1"/>
    </xf>
    <xf numFmtId="0" fontId="13" fillId="0" borderId="0" xfId="1" applyFont="1" applyAlignment="1">
      <alignment horizontal="justify" vertical="center" wrapText="1" readingOrder="1"/>
    </xf>
    <xf numFmtId="0" fontId="42" fillId="0" borderId="0" xfId="1" applyFont="1" applyAlignment="1">
      <alignment horizontal="justify" vertical="center"/>
    </xf>
    <xf numFmtId="3" fontId="10" fillId="0" borderId="7" xfId="5" applyNumberFormat="1" applyFont="1" applyFill="1" applyBorder="1" applyAlignment="1" applyProtection="1">
      <alignment horizontal="justify" vertical="center" wrapText="1" readingOrder="1"/>
      <protection locked="0"/>
    </xf>
    <xf numFmtId="3" fontId="10" fillId="0" borderId="7" xfId="5" applyNumberFormat="1" applyFont="1" applyFill="1" applyBorder="1" applyAlignment="1" applyProtection="1">
      <alignment horizontal="left" vertical="center" wrapText="1" readingOrder="1"/>
      <protection locked="0"/>
    </xf>
    <xf numFmtId="3" fontId="10" fillId="0" borderId="7" xfId="5" applyNumberFormat="1" applyFont="1" applyFill="1" applyBorder="1" applyAlignment="1" applyProtection="1">
      <alignment horizontal="center" vertical="center" wrapText="1" readingOrder="1"/>
      <protection locked="0"/>
    </xf>
    <xf numFmtId="0" fontId="16" fillId="0" borderId="7" xfId="1" applyFont="1" applyBorder="1" applyAlignment="1">
      <alignment horizontal="justify" vertical="center" wrapText="1" readingOrder="1"/>
    </xf>
    <xf numFmtId="0" fontId="45" fillId="0" borderId="7" xfId="1" applyFont="1" applyBorder="1" applyAlignment="1">
      <alignment horizontal="justify" vertical="center" wrapText="1" readingOrder="1"/>
    </xf>
    <xf numFmtId="0" fontId="4" fillId="0" borderId="0" xfId="1" applyFont="1" applyAlignment="1">
      <alignment horizontal="center" vertical="center" wrapText="1"/>
    </xf>
    <xf numFmtId="0" fontId="4" fillId="0" borderId="0" xfId="1" applyFont="1" applyAlignment="1">
      <alignment vertical="center" wrapText="1"/>
    </xf>
    <xf numFmtId="3" fontId="4" fillId="0" borderId="0" xfId="1" applyNumberFormat="1" applyFont="1" applyAlignment="1">
      <alignment vertical="center" wrapText="1"/>
    </xf>
    <xf numFmtId="3" fontId="8" fillId="2" borderId="17" xfId="1" applyNumberFormat="1" applyFont="1" applyFill="1" applyBorder="1" applyAlignment="1">
      <alignment horizontal="center" vertical="center" wrapText="1" readingOrder="1"/>
    </xf>
    <xf numFmtId="0" fontId="4" fillId="0" borderId="0" xfId="1" applyFont="1" applyAlignment="1">
      <alignment vertical="center"/>
    </xf>
    <xf numFmtId="3" fontId="8" fillId="2" borderId="24" xfId="1" applyNumberFormat="1" applyFont="1" applyFill="1" applyBorder="1" applyAlignment="1">
      <alignment horizontal="center" vertical="center" wrapText="1" readingOrder="1"/>
    </xf>
    <xf numFmtId="0" fontId="8" fillId="0" borderId="7" xfId="1" applyFont="1" applyBorder="1" applyAlignment="1">
      <alignment horizontal="justify" vertical="center" wrapText="1" readingOrder="1"/>
    </xf>
    <xf numFmtId="0" fontId="42" fillId="0" borderId="0" xfId="1" applyFont="1" applyAlignment="1">
      <alignment vertical="center" readingOrder="1"/>
    </xf>
    <xf numFmtId="0" fontId="8" fillId="0" borderId="7" xfId="1" applyFont="1" applyBorder="1" applyAlignment="1">
      <alignment horizontal="left" vertical="top" wrapText="1" readingOrder="1"/>
    </xf>
    <xf numFmtId="0" fontId="8" fillId="0" borderId="7" xfId="1" applyFont="1" applyBorder="1" applyAlignment="1">
      <alignment horizontal="left" vertical="center" wrapText="1" readingOrder="1"/>
    </xf>
    <xf numFmtId="0" fontId="10" fillId="0" borderId="23" xfId="1" applyFont="1" applyBorder="1" applyAlignment="1">
      <alignment horizontal="center" vertical="top" wrapText="1" readingOrder="1"/>
    </xf>
    <xf numFmtId="0" fontId="8" fillId="0" borderId="23" xfId="1" applyFont="1" applyBorder="1" applyAlignment="1">
      <alignment horizontal="center" vertical="center" wrapText="1" readingOrder="1"/>
    </xf>
    <xf numFmtId="0" fontId="8" fillId="0" borderId="23" xfId="1" applyFont="1" applyBorder="1" applyAlignment="1">
      <alignment horizontal="center" vertical="top" wrapText="1" readingOrder="1"/>
    </xf>
    <xf numFmtId="164" fontId="8" fillId="0" borderId="23" xfId="5" applyFont="1" applyBorder="1" applyAlignment="1">
      <alignment vertical="center" wrapText="1" readingOrder="1"/>
    </xf>
    <xf numFmtId="3" fontId="8" fillId="0" borderId="23" xfId="5" applyNumberFormat="1" applyFont="1" applyBorder="1" applyAlignment="1">
      <alignment vertical="center" wrapText="1" readingOrder="1"/>
    </xf>
    <xf numFmtId="0" fontId="42" fillId="0" borderId="0" xfId="1" applyFont="1"/>
    <xf numFmtId="164" fontId="42" fillId="0" borderId="0" xfId="1" applyNumberFormat="1" applyFont="1"/>
    <xf numFmtId="0" fontId="4" fillId="0" borderId="0" xfId="1" applyFont="1" applyAlignment="1">
      <alignment horizontal="center" vertical="center"/>
    </xf>
    <xf numFmtId="3" fontId="4" fillId="0" borderId="0" xfId="1" applyNumberFormat="1" applyFont="1"/>
    <xf numFmtId="0" fontId="48" fillId="0" borderId="7" xfId="18" applyFont="1" applyBorder="1" applyAlignment="1">
      <alignment horizontal="center" vertical="center" wrapText="1" readingOrder="1"/>
    </xf>
    <xf numFmtId="3" fontId="48" fillId="0" borderId="7" xfId="18" applyNumberFormat="1" applyFont="1" applyBorder="1" applyAlignment="1">
      <alignment horizontal="center" vertical="center" wrapText="1" readingOrder="1"/>
    </xf>
    <xf numFmtId="0" fontId="49" fillId="0" borderId="0" xfId="20"/>
    <xf numFmtId="0" fontId="50" fillId="0" borderId="7" xfId="18" applyFont="1" applyBorder="1" applyAlignment="1">
      <alignment horizontal="center" vertical="top" wrapText="1" readingOrder="1"/>
    </xf>
    <xf numFmtId="0" fontId="50" fillId="0" borderId="7" xfId="18" applyFont="1" applyBorder="1" applyAlignment="1">
      <alignment horizontal="center" vertical="center" wrapText="1" readingOrder="1"/>
    </xf>
    <xf numFmtId="0" fontId="51" fillId="0" borderId="7" xfId="20" applyFont="1" applyBorder="1" applyAlignment="1">
      <alignment horizontal="left" vertical="center" wrapText="1"/>
    </xf>
    <xf numFmtId="0" fontId="52" fillId="0" borderId="7" xfId="20" applyFont="1" applyBorder="1" applyAlignment="1">
      <alignment horizontal="left" vertical="center" wrapText="1"/>
    </xf>
    <xf numFmtId="0" fontId="50" fillId="0" borderId="7" xfId="18" applyFont="1" applyBorder="1" applyAlignment="1">
      <alignment horizontal="left" vertical="center" wrapText="1" readingOrder="1"/>
    </xf>
    <xf numFmtId="0" fontId="12" fillId="0" borderId="7" xfId="20" applyFont="1" applyBorder="1" applyAlignment="1">
      <alignment horizontal="left" vertical="center" wrapText="1"/>
    </xf>
    <xf numFmtId="0" fontId="10" fillId="0" borderId="7" xfId="18" applyFont="1" applyBorder="1" applyAlignment="1">
      <alignment horizontal="center" vertical="center" wrapText="1" readingOrder="1"/>
    </xf>
    <xf numFmtId="0" fontId="47" fillId="0" borderId="0" xfId="0" applyFont="1" applyAlignment="1">
      <alignment vertical="top" wrapText="1"/>
    </xf>
    <xf numFmtId="0" fontId="47" fillId="0" borderId="0" xfId="0" applyFont="1" applyAlignment="1">
      <alignment vertical="center" wrapText="1"/>
    </xf>
    <xf numFmtId="166" fontId="0" fillId="0" borderId="14" xfId="0" applyNumberFormat="1" applyBorder="1" applyAlignment="1">
      <alignment horizontal="center" vertical="top" wrapText="1"/>
    </xf>
    <xf numFmtId="0" fontId="4" fillId="0" borderId="9" xfId="1" applyFont="1" applyBorder="1"/>
    <xf numFmtId="3" fontId="10" fillId="3" borderId="7" xfId="1" applyNumberFormat="1" applyFont="1" applyFill="1" applyBorder="1" applyAlignment="1">
      <alignment horizontal="center" vertical="center" wrapText="1" readingOrder="1"/>
    </xf>
    <xf numFmtId="3" fontId="10" fillId="4" borderId="7" xfId="1" applyNumberFormat="1" applyFont="1" applyFill="1" applyBorder="1" applyAlignment="1">
      <alignment horizontal="center" vertical="center" wrapText="1" readingOrder="1"/>
    </xf>
    <xf numFmtId="0" fontId="34" fillId="0" borderId="0" xfId="0" applyFont="1" applyAlignment="1">
      <alignment horizontal="center" vertical="center" wrapText="1"/>
    </xf>
    <xf numFmtId="0" fontId="3" fillId="0" borderId="0" xfId="0" applyFont="1" applyAlignment="1">
      <alignment vertical="top" wrapText="1"/>
    </xf>
    <xf numFmtId="0" fontId="46" fillId="0" borderId="0" xfId="23" applyFont="1" applyAlignment="1">
      <alignment horizontal="center" vertical="center"/>
    </xf>
    <xf numFmtId="0" fontId="3" fillId="0" borderId="12" xfId="0" applyFont="1" applyBorder="1" applyAlignment="1">
      <alignment horizontal="left"/>
    </xf>
    <xf numFmtId="0" fontId="37" fillId="0" borderId="0" xfId="0" applyFont="1" applyAlignment="1">
      <alignment horizontal="center" vertical="center"/>
    </xf>
    <xf numFmtId="0" fontId="28" fillId="0" borderId="0" xfId="0" applyFont="1" applyAlignment="1">
      <alignment horizontal="center" vertical="center"/>
    </xf>
    <xf numFmtId="43" fontId="19" fillId="0" borderId="7" xfId="22" applyFont="1" applyFill="1" applyBorder="1" applyAlignment="1" applyProtection="1">
      <alignment horizontal="center" vertical="center" wrapText="1" readingOrder="1"/>
      <protection locked="0"/>
    </xf>
    <xf numFmtId="43" fontId="10" fillId="0" borderId="7" xfId="22" applyFont="1" applyBorder="1" applyAlignment="1" applyProtection="1">
      <alignment horizontal="left" vertical="center" wrapText="1" readingOrder="1"/>
      <protection locked="0"/>
    </xf>
    <xf numFmtId="43" fontId="8" fillId="0" borderId="7" xfId="22" applyFont="1" applyBorder="1" applyAlignment="1" applyProtection="1">
      <alignment horizontal="center" vertical="center" wrapText="1" readingOrder="1"/>
      <protection locked="0"/>
    </xf>
    <xf numFmtId="43" fontId="10" fillId="0" borderId="7" xfId="22" applyFont="1" applyBorder="1" applyAlignment="1" applyProtection="1">
      <alignment horizontal="center" vertical="center" wrapText="1" readingOrder="1"/>
      <protection locked="0"/>
    </xf>
    <xf numFmtId="43" fontId="19" fillId="0" borderId="23" xfId="22" applyFont="1" applyFill="1" applyBorder="1" applyAlignment="1" applyProtection="1">
      <alignment horizontal="center" vertical="center" wrapText="1" readingOrder="1"/>
      <protection locked="0"/>
    </xf>
    <xf numFmtId="0" fontId="0" fillId="4" borderId="12" xfId="0" applyFill="1" applyBorder="1" applyAlignment="1">
      <alignment horizontal="left" vertical="center"/>
    </xf>
    <xf numFmtId="0" fontId="0" fillId="4" borderId="12" xfId="0" applyFill="1" applyBorder="1" applyAlignment="1">
      <alignment horizontal="center" vertical="center"/>
    </xf>
    <xf numFmtId="3" fontId="7" fillId="4" borderId="12" xfId="0" applyNumberFormat="1" applyFont="1" applyFill="1" applyBorder="1" applyAlignment="1">
      <alignment horizontal="center" vertical="center"/>
    </xf>
    <xf numFmtId="0" fontId="13" fillId="4" borderId="8" xfId="1" applyFont="1" applyFill="1" applyBorder="1" applyAlignment="1">
      <alignment horizontal="center" vertical="center" wrapText="1" readingOrder="1"/>
    </xf>
    <xf numFmtId="3" fontId="7" fillId="4" borderId="12" xfId="0" applyNumberFormat="1" applyFont="1" applyFill="1" applyBorder="1" applyAlignment="1">
      <alignment vertical="center"/>
    </xf>
    <xf numFmtId="165" fontId="0" fillId="4" borderId="12" xfId="0" applyNumberFormat="1" applyFill="1" applyBorder="1" applyAlignment="1" applyProtection="1">
      <alignment horizontal="right" vertical="top"/>
      <protection locked="0"/>
    </xf>
    <xf numFmtId="165" fontId="0" fillId="4" borderId="15" xfId="0" applyNumberFormat="1" applyFill="1" applyBorder="1" applyAlignment="1">
      <alignment horizontal="right" vertical="top"/>
    </xf>
    <xf numFmtId="165" fontId="20" fillId="4" borderId="5" xfId="0" applyNumberFormat="1" applyFont="1" applyFill="1" applyBorder="1" applyAlignment="1">
      <alignment horizontal="right" vertical="top"/>
    </xf>
    <xf numFmtId="2" fontId="13" fillId="4" borderId="7" xfId="1" quotePrefix="1" applyNumberFormat="1" applyFont="1" applyFill="1" applyBorder="1" applyAlignment="1">
      <alignment horizontal="center" vertical="center" wrapText="1" readingOrder="1"/>
    </xf>
    <xf numFmtId="0" fontId="13" fillId="4" borderId="7" xfId="1" quotePrefix="1" applyFont="1" applyFill="1" applyBorder="1" applyAlignment="1">
      <alignment horizontal="center" vertical="top" wrapText="1" readingOrder="1"/>
    </xf>
    <xf numFmtId="0" fontId="0" fillId="4" borderId="12" xfId="0" applyFill="1" applyBorder="1" applyAlignment="1">
      <alignment horizontal="center" vertical="top"/>
    </xf>
    <xf numFmtId="166" fontId="0" fillId="4" borderId="12" xfId="0" applyNumberFormat="1" applyFill="1" applyBorder="1" applyAlignment="1">
      <alignment horizontal="center" vertical="top" wrapText="1"/>
    </xf>
    <xf numFmtId="3" fontId="0" fillId="4" borderId="12" xfId="0" applyNumberFormat="1" applyFill="1" applyBorder="1" applyAlignment="1">
      <alignment horizontal="center" vertical="center" wrapText="1"/>
    </xf>
    <xf numFmtId="0" fontId="5" fillId="0" borderId="1" xfId="0" applyFont="1" applyBorder="1" applyAlignment="1">
      <alignment horizontal="center" vertical="top"/>
    </xf>
    <xf numFmtId="0" fontId="5" fillId="0" borderId="2" xfId="0" applyFont="1" applyBorder="1" applyAlignment="1">
      <alignment horizontal="center" vertical="top"/>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top"/>
    </xf>
    <xf numFmtId="0" fontId="5" fillId="0" borderId="0" xfId="0" applyFont="1" applyAlignment="1">
      <alignment horizontal="center" vertical="top" wrapText="1"/>
    </xf>
    <xf numFmtId="166" fontId="13" fillId="0" borderId="11" xfId="1" applyNumberFormat="1" applyFont="1" applyBorder="1" applyAlignment="1">
      <alignment horizontal="center" vertical="center" wrapText="1" readingOrder="1"/>
    </xf>
    <xf numFmtId="166" fontId="13" fillId="0" borderId="12" xfId="1" applyNumberFormat="1" applyFont="1" applyBorder="1" applyAlignment="1">
      <alignment horizontal="center" vertical="center" wrapText="1" readingOrder="1"/>
    </xf>
    <xf numFmtId="166" fontId="13" fillId="0" borderId="13" xfId="1" applyNumberFormat="1" applyFont="1" applyBorder="1" applyAlignment="1">
      <alignment horizontal="center" vertical="center" wrapText="1" readingOrder="1"/>
    </xf>
    <xf numFmtId="0" fontId="13" fillId="0" borderId="11" xfId="1" applyFont="1" applyBorder="1" applyAlignment="1">
      <alignment horizontal="center" vertical="center" wrapText="1" readingOrder="1"/>
    </xf>
    <xf numFmtId="0" fontId="13" fillId="0" borderId="12" xfId="1" applyFont="1" applyBorder="1" applyAlignment="1">
      <alignment horizontal="center" vertical="center" wrapText="1" readingOrder="1"/>
    </xf>
    <xf numFmtId="0" fontId="13" fillId="0" borderId="13" xfId="1" applyFont="1" applyBorder="1" applyAlignment="1">
      <alignment horizontal="center" vertical="center" wrapText="1" readingOrder="1"/>
    </xf>
    <xf numFmtId="1" fontId="13" fillId="0" borderId="11" xfId="1" applyNumberFormat="1" applyFont="1" applyBorder="1" applyAlignment="1">
      <alignment horizontal="center" vertical="center" wrapText="1" readingOrder="1"/>
    </xf>
    <xf numFmtId="1" fontId="13" fillId="0" borderId="12" xfId="1" applyNumberFormat="1" applyFont="1" applyBorder="1" applyAlignment="1">
      <alignment horizontal="center" vertical="center" wrapText="1" readingOrder="1"/>
    </xf>
    <xf numFmtId="1" fontId="13" fillId="0" borderId="13" xfId="1" applyNumberFormat="1" applyFont="1" applyBorder="1" applyAlignment="1">
      <alignment horizontal="center" vertical="center" wrapText="1" readingOrder="1"/>
    </xf>
    <xf numFmtId="0" fontId="2" fillId="0" borderId="0" xfId="0" applyFont="1" applyAlignment="1">
      <alignment vertical="center"/>
    </xf>
    <xf numFmtId="0" fontId="5" fillId="0" borderId="3" xfId="0" applyFont="1" applyBorder="1" applyAlignment="1">
      <alignment horizontal="center" vertical="top"/>
    </xf>
    <xf numFmtId="49" fontId="0" fillId="0" borderId="12" xfId="0" applyNumberFormat="1" applyBorder="1" applyAlignment="1">
      <alignment horizontal="center" vertical="center"/>
    </xf>
    <xf numFmtId="0" fontId="0" fillId="0" borderId="12" xfId="0" applyBorder="1" applyAlignment="1">
      <alignment horizontal="left" vertical="center" wrapText="1"/>
    </xf>
    <xf numFmtId="0" fontId="37" fillId="0" borderId="18" xfId="1" applyFont="1" applyBorder="1" applyAlignment="1">
      <alignment horizontal="center" vertical="center"/>
    </xf>
    <xf numFmtId="0" fontId="37" fillId="0" borderId="19" xfId="1" applyFont="1" applyBorder="1" applyAlignment="1">
      <alignment horizontal="center" vertical="center"/>
    </xf>
    <xf numFmtId="0" fontId="37" fillId="0" borderId="20" xfId="1" applyFont="1" applyBorder="1" applyAlignment="1">
      <alignment horizontal="center" vertical="center"/>
    </xf>
    <xf numFmtId="0" fontId="8" fillId="2" borderId="21" xfId="1" applyFont="1" applyFill="1" applyBorder="1" applyAlignment="1">
      <alignment horizontal="center" vertical="center" wrapText="1" readingOrder="1"/>
    </xf>
    <xf numFmtId="0" fontId="8" fillId="2" borderId="22" xfId="1" applyFont="1" applyFill="1" applyBorder="1" applyAlignment="1">
      <alignment horizontal="center" vertical="center" wrapText="1" readingOrder="1"/>
    </xf>
    <xf numFmtId="0" fontId="8" fillId="2" borderId="18" xfId="1" applyFont="1" applyFill="1" applyBorder="1" applyAlignment="1">
      <alignment horizontal="center" vertical="center" wrapText="1" readingOrder="1"/>
    </xf>
    <xf numFmtId="0" fontId="8" fillId="2" borderId="20" xfId="1" applyFont="1" applyFill="1" applyBorder="1" applyAlignment="1">
      <alignment horizontal="center" vertical="center" wrapText="1" readingOrder="1"/>
    </xf>
    <xf numFmtId="0" fontId="8" fillId="2" borderId="23" xfId="1" applyFont="1" applyFill="1" applyBorder="1" applyAlignment="1">
      <alignment horizontal="center" vertical="center" wrapText="1" readingOrder="1"/>
    </xf>
    <xf numFmtId="0" fontId="8" fillId="2" borderId="23" xfId="1" applyFont="1" applyFill="1" applyBorder="1" applyAlignment="1">
      <alignment horizontal="center" vertical="center" wrapText="1"/>
    </xf>
    <xf numFmtId="3" fontId="8" fillId="2" borderId="23" xfId="1" applyNumberFormat="1" applyFont="1" applyFill="1" applyBorder="1" applyAlignment="1">
      <alignment horizontal="center" vertical="center" wrapText="1" readingOrder="1"/>
    </xf>
  </cellXfs>
  <cellStyles count="24">
    <cellStyle name="0,0_x000d__x000a_NA_x000d__x000a_ 2" xfId="4" xr:uid="{EC393B2B-4DAB-4C98-AAC9-4CEBC9BD8277}"/>
    <cellStyle name="0,0_x000d__x000a_NA_x000d__x000a_ 2 2" xfId="12" xr:uid="{02A8FF89-F8E2-4B83-99DA-02D44A7455D9}"/>
    <cellStyle name="Comma" xfId="22" builtinId="3"/>
    <cellStyle name="Comma 2 2" xfId="5" xr:uid="{A6C8A6DA-5709-4BCD-9C58-5300D651F238}"/>
    <cellStyle name="Comma 2 2 2" xfId="13" xr:uid="{6EDF6449-1099-4FE2-A969-6DBEC77D85C6}"/>
    <cellStyle name="Comma 3" xfId="10" xr:uid="{0CF47AB3-9D58-4EA5-9FE5-893E7282A9D0}"/>
    <cellStyle name="Comma 3 2" xfId="6" xr:uid="{69423227-E2D0-49C2-AD35-AD3FA16A9D58}"/>
    <cellStyle name="Comma 3 2 2" xfId="15" xr:uid="{4F922641-6F0B-4224-81A1-A8EAFA928539}"/>
    <cellStyle name="Comma 3 3" xfId="14" xr:uid="{C3750066-0B96-45E7-A0EA-F4E028BD15AC}"/>
    <cellStyle name="Normal" xfId="0" builtinId="0"/>
    <cellStyle name="Normal 2" xfId="11" xr:uid="{5C924EE0-8C73-4404-9CB0-21207FFA1A2C}"/>
    <cellStyle name="Normal 2 2 2" xfId="2" xr:uid="{4B8D9ECE-D490-4D4B-A8A5-25BA592DE064}"/>
    <cellStyle name="Normal 2 2 2 2" xfId="16" xr:uid="{3E007CEB-9CE4-4FBD-9EBF-D017ABCBC1A5}"/>
    <cellStyle name="Normal 3" xfId="8" xr:uid="{13AD9A13-4A01-4155-BAE5-7AE1ED45A695}"/>
    <cellStyle name="Normal 3 2" xfId="17" xr:uid="{C1EBFD5D-A1F6-4A35-98ED-580F57345F57}"/>
    <cellStyle name="Normal 3 3" xfId="1" xr:uid="{19D2790C-922B-4DFF-8141-CFEC4FCD6A97}"/>
    <cellStyle name="Normal 3 3 2" xfId="18" xr:uid="{3E59B678-C3AC-4B76-B9DB-8AA593396797}"/>
    <cellStyle name="Normal 4" xfId="23" xr:uid="{7E12801D-A02E-4A97-8E0C-72474BD7A1C1}"/>
    <cellStyle name="Normal 5" xfId="9" xr:uid="{FFAB132C-A1C9-4652-9101-15FE9B9A1E05}"/>
    <cellStyle name="Normal 5 2" xfId="19" xr:uid="{CD55F15C-7D35-493C-A7E8-9DF8BE2217C2}"/>
    <cellStyle name="Normal 53" xfId="3" xr:uid="{E9833141-A208-473F-928E-DE7348558791}"/>
    <cellStyle name="Normal 53 2" xfId="20" xr:uid="{C3EDA650-C8C4-4D98-8D97-EE4DDAB83664}"/>
    <cellStyle name="Normal 7" xfId="7" xr:uid="{1B63895B-A062-4B67-BC47-D3FCE192B26C}"/>
    <cellStyle name="Normal 7 2" xfId="21" xr:uid="{EBE94541-AEBA-4329-A79F-4ED05948F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oneCell">
    <xdr:from>
      <xdr:col>2</xdr:col>
      <xdr:colOff>2019300</xdr:colOff>
      <xdr:row>162</xdr:row>
      <xdr:rowOff>0</xdr:rowOff>
    </xdr:from>
    <xdr:to>
      <xdr:col>2</xdr:col>
      <xdr:colOff>2019300</xdr:colOff>
      <xdr:row>162</xdr:row>
      <xdr:rowOff>168275</xdr:rowOff>
    </xdr:to>
    <xdr:sp macro="" textlink="">
      <xdr:nvSpPr>
        <xdr:cNvPr id="2" name="Text Box 497">
          <a:extLst>
            <a:ext uri="{FF2B5EF4-FFF2-40B4-BE49-F238E27FC236}">
              <a16:creationId xmlns:a16="http://schemas.microsoft.com/office/drawing/2014/main" id="{33AA413E-5EC5-4595-B9B9-AA95B9C1F9AE}"/>
            </a:ext>
          </a:extLst>
        </xdr:cNvPr>
        <xdr:cNvSpPr txBox="1">
          <a:spLocks noChangeArrowheads="1"/>
        </xdr:cNvSpPr>
      </xdr:nvSpPr>
      <xdr:spPr bwMode="auto">
        <a:xfrm>
          <a:off x="2781300" y="33108900"/>
          <a:ext cx="0" cy="168275"/>
        </a:xfrm>
        <a:prstGeom prst="rect">
          <a:avLst/>
        </a:prstGeom>
        <a:noFill/>
        <a:ln w="9525">
          <a:noFill/>
          <a:miter lim="800000"/>
          <a:headEnd/>
          <a:tailEnd/>
        </a:ln>
      </xdr:spPr>
    </xdr:sp>
    <xdr:clientData/>
  </xdr:twoCellAnchor>
  <xdr:twoCellAnchor editAs="oneCell">
    <xdr:from>
      <xdr:col>2</xdr:col>
      <xdr:colOff>2019300</xdr:colOff>
      <xdr:row>162</xdr:row>
      <xdr:rowOff>0</xdr:rowOff>
    </xdr:from>
    <xdr:to>
      <xdr:col>2</xdr:col>
      <xdr:colOff>2019300</xdr:colOff>
      <xdr:row>162</xdr:row>
      <xdr:rowOff>168275</xdr:rowOff>
    </xdr:to>
    <xdr:sp macro="" textlink="">
      <xdr:nvSpPr>
        <xdr:cNvPr id="3" name="Text Box 498">
          <a:extLst>
            <a:ext uri="{FF2B5EF4-FFF2-40B4-BE49-F238E27FC236}">
              <a16:creationId xmlns:a16="http://schemas.microsoft.com/office/drawing/2014/main" id="{774FF6DD-C11B-4390-B840-510D4E37415A}"/>
            </a:ext>
          </a:extLst>
        </xdr:cNvPr>
        <xdr:cNvSpPr txBox="1">
          <a:spLocks noChangeArrowheads="1"/>
        </xdr:cNvSpPr>
      </xdr:nvSpPr>
      <xdr:spPr bwMode="auto">
        <a:xfrm>
          <a:off x="2781300" y="33108900"/>
          <a:ext cx="0" cy="168275"/>
        </a:xfrm>
        <a:prstGeom prst="rect">
          <a:avLst/>
        </a:prstGeom>
        <a:noFill/>
        <a:ln w="9525">
          <a:noFill/>
          <a:miter lim="800000"/>
          <a:headEnd/>
          <a:tailEnd/>
        </a:ln>
      </xdr:spPr>
    </xdr:sp>
    <xdr:clientData/>
  </xdr:twoCellAnchor>
  <xdr:twoCellAnchor editAs="oneCell">
    <xdr:from>
      <xdr:col>2</xdr:col>
      <xdr:colOff>2019300</xdr:colOff>
      <xdr:row>164</xdr:row>
      <xdr:rowOff>0</xdr:rowOff>
    </xdr:from>
    <xdr:to>
      <xdr:col>2</xdr:col>
      <xdr:colOff>2019300</xdr:colOff>
      <xdr:row>165</xdr:row>
      <xdr:rowOff>38100</xdr:rowOff>
    </xdr:to>
    <xdr:sp macro="" textlink="">
      <xdr:nvSpPr>
        <xdr:cNvPr id="4" name="Text Box 499">
          <a:extLst>
            <a:ext uri="{FF2B5EF4-FFF2-40B4-BE49-F238E27FC236}">
              <a16:creationId xmlns:a16="http://schemas.microsoft.com/office/drawing/2014/main" id="{AD68D591-68ED-4F59-9786-881B2E9EFA5D}"/>
            </a:ext>
          </a:extLst>
        </xdr:cNvPr>
        <xdr:cNvSpPr txBox="1">
          <a:spLocks noChangeArrowheads="1"/>
        </xdr:cNvSpPr>
      </xdr:nvSpPr>
      <xdr:spPr bwMode="auto">
        <a:xfrm>
          <a:off x="2781300" y="33489900"/>
          <a:ext cx="0" cy="228600"/>
        </a:xfrm>
        <a:prstGeom prst="rect">
          <a:avLst/>
        </a:prstGeom>
        <a:noFill/>
        <a:ln w="9525">
          <a:noFill/>
          <a:miter lim="800000"/>
          <a:headEnd/>
          <a:tailEnd/>
        </a:ln>
      </xdr:spPr>
    </xdr:sp>
    <xdr:clientData/>
  </xdr:twoCellAnchor>
  <xdr:twoCellAnchor editAs="oneCell">
    <xdr:from>
      <xdr:col>2</xdr:col>
      <xdr:colOff>2019300</xdr:colOff>
      <xdr:row>164</xdr:row>
      <xdr:rowOff>0</xdr:rowOff>
    </xdr:from>
    <xdr:to>
      <xdr:col>2</xdr:col>
      <xdr:colOff>2019300</xdr:colOff>
      <xdr:row>165</xdr:row>
      <xdr:rowOff>38100</xdr:rowOff>
    </xdr:to>
    <xdr:sp macro="" textlink="">
      <xdr:nvSpPr>
        <xdr:cNvPr id="5" name="Text Box 500">
          <a:extLst>
            <a:ext uri="{FF2B5EF4-FFF2-40B4-BE49-F238E27FC236}">
              <a16:creationId xmlns:a16="http://schemas.microsoft.com/office/drawing/2014/main" id="{6E8CC2EA-9B57-4A5E-8B48-DCE0E30B0B46}"/>
            </a:ext>
          </a:extLst>
        </xdr:cNvPr>
        <xdr:cNvSpPr txBox="1">
          <a:spLocks noChangeArrowheads="1"/>
        </xdr:cNvSpPr>
      </xdr:nvSpPr>
      <xdr:spPr bwMode="auto">
        <a:xfrm>
          <a:off x="2781300" y="33489900"/>
          <a:ext cx="0" cy="228600"/>
        </a:xfrm>
        <a:prstGeom prst="rect">
          <a:avLst/>
        </a:prstGeom>
        <a:noFill/>
        <a:ln w="9525">
          <a:noFill/>
          <a:miter lim="800000"/>
          <a:headEnd/>
          <a:tailEnd/>
        </a:ln>
      </xdr:spPr>
    </xdr:sp>
    <xdr:clientData/>
  </xdr:twoCellAnchor>
  <xdr:twoCellAnchor editAs="oneCell">
    <xdr:from>
      <xdr:col>2</xdr:col>
      <xdr:colOff>2019300</xdr:colOff>
      <xdr:row>164</xdr:row>
      <xdr:rowOff>0</xdr:rowOff>
    </xdr:from>
    <xdr:to>
      <xdr:col>2</xdr:col>
      <xdr:colOff>2019300</xdr:colOff>
      <xdr:row>165</xdr:row>
      <xdr:rowOff>38100</xdr:rowOff>
    </xdr:to>
    <xdr:sp macro="" textlink="">
      <xdr:nvSpPr>
        <xdr:cNvPr id="6" name="Text Box 501">
          <a:extLst>
            <a:ext uri="{FF2B5EF4-FFF2-40B4-BE49-F238E27FC236}">
              <a16:creationId xmlns:a16="http://schemas.microsoft.com/office/drawing/2014/main" id="{8242662C-AF74-4D50-9FF7-1D0BF2D16464}"/>
            </a:ext>
          </a:extLst>
        </xdr:cNvPr>
        <xdr:cNvSpPr txBox="1">
          <a:spLocks noChangeArrowheads="1"/>
        </xdr:cNvSpPr>
      </xdr:nvSpPr>
      <xdr:spPr bwMode="auto">
        <a:xfrm>
          <a:off x="2781300" y="33489900"/>
          <a:ext cx="0" cy="228600"/>
        </a:xfrm>
        <a:prstGeom prst="rect">
          <a:avLst/>
        </a:prstGeom>
        <a:noFill/>
        <a:ln w="9525">
          <a:noFill/>
          <a:miter lim="800000"/>
          <a:headEnd/>
          <a:tailEnd/>
        </a:ln>
      </xdr:spPr>
    </xdr:sp>
    <xdr:clientData/>
  </xdr:twoCellAnchor>
  <xdr:twoCellAnchor editAs="oneCell">
    <xdr:from>
      <xdr:col>2</xdr:col>
      <xdr:colOff>2019300</xdr:colOff>
      <xdr:row>164</xdr:row>
      <xdr:rowOff>0</xdr:rowOff>
    </xdr:from>
    <xdr:to>
      <xdr:col>2</xdr:col>
      <xdr:colOff>2019300</xdr:colOff>
      <xdr:row>165</xdr:row>
      <xdr:rowOff>38100</xdr:rowOff>
    </xdr:to>
    <xdr:sp macro="" textlink="">
      <xdr:nvSpPr>
        <xdr:cNvPr id="7" name="Text Box 502">
          <a:extLst>
            <a:ext uri="{FF2B5EF4-FFF2-40B4-BE49-F238E27FC236}">
              <a16:creationId xmlns:a16="http://schemas.microsoft.com/office/drawing/2014/main" id="{9195CD36-4F6E-460E-A031-DFA270BE74BE}"/>
            </a:ext>
          </a:extLst>
        </xdr:cNvPr>
        <xdr:cNvSpPr txBox="1">
          <a:spLocks noChangeArrowheads="1"/>
        </xdr:cNvSpPr>
      </xdr:nvSpPr>
      <xdr:spPr bwMode="auto">
        <a:xfrm>
          <a:off x="2781300" y="33489900"/>
          <a:ext cx="0" cy="228600"/>
        </a:xfrm>
        <a:prstGeom prst="rect">
          <a:avLst/>
        </a:prstGeom>
        <a:noFill/>
        <a:ln w="9525">
          <a:noFill/>
          <a:miter lim="800000"/>
          <a:headEnd/>
          <a:tailEnd/>
        </a:ln>
      </xdr:spPr>
    </xdr:sp>
    <xdr:clientData/>
  </xdr:twoCellAnchor>
  <xdr:oneCellAnchor>
    <xdr:from>
      <xdr:col>3</xdr:col>
      <xdr:colOff>0</xdr:colOff>
      <xdr:row>105</xdr:row>
      <xdr:rowOff>0</xdr:rowOff>
    </xdr:from>
    <xdr:ext cx="76200" cy="200025"/>
    <xdr:sp macro="" textlink="">
      <xdr:nvSpPr>
        <xdr:cNvPr id="8" name="Text Box 503">
          <a:extLst>
            <a:ext uri="{FF2B5EF4-FFF2-40B4-BE49-F238E27FC236}">
              <a16:creationId xmlns:a16="http://schemas.microsoft.com/office/drawing/2014/main" id="{69554D57-DD5B-42B5-BF85-27F5464E0EC0}"/>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9" name="Text Box 504">
          <a:extLst>
            <a:ext uri="{FF2B5EF4-FFF2-40B4-BE49-F238E27FC236}">
              <a16:creationId xmlns:a16="http://schemas.microsoft.com/office/drawing/2014/main" id="{47EB0A76-B278-4DED-9C98-BCB6A686E15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0" name="Text Box 505">
          <a:extLst>
            <a:ext uri="{FF2B5EF4-FFF2-40B4-BE49-F238E27FC236}">
              <a16:creationId xmlns:a16="http://schemas.microsoft.com/office/drawing/2014/main" id="{6FDB03F9-DF75-4F86-BA36-5B7990AF562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1" name="Text Box 506">
          <a:extLst>
            <a:ext uri="{FF2B5EF4-FFF2-40B4-BE49-F238E27FC236}">
              <a16:creationId xmlns:a16="http://schemas.microsoft.com/office/drawing/2014/main" id="{1F4B6298-9E08-4C69-98A8-50CF26C2BF7B}"/>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2" name="Text Box 507">
          <a:extLst>
            <a:ext uri="{FF2B5EF4-FFF2-40B4-BE49-F238E27FC236}">
              <a16:creationId xmlns:a16="http://schemas.microsoft.com/office/drawing/2014/main" id="{501D98A6-0801-40A4-9DDB-4401D6BD949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3" name="Text Box 508">
          <a:extLst>
            <a:ext uri="{FF2B5EF4-FFF2-40B4-BE49-F238E27FC236}">
              <a16:creationId xmlns:a16="http://schemas.microsoft.com/office/drawing/2014/main" id="{5A0DF65B-DE2E-44A1-A152-3B50069458AF}"/>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4" name="Text Box 509">
          <a:extLst>
            <a:ext uri="{FF2B5EF4-FFF2-40B4-BE49-F238E27FC236}">
              <a16:creationId xmlns:a16="http://schemas.microsoft.com/office/drawing/2014/main" id="{40E12DD7-D318-4001-9D4B-C1F7CCE357C1}"/>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5" name="Text Box 510">
          <a:extLst>
            <a:ext uri="{FF2B5EF4-FFF2-40B4-BE49-F238E27FC236}">
              <a16:creationId xmlns:a16="http://schemas.microsoft.com/office/drawing/2014/main" id="{B902B393-9244-4293-850D-768327E19910}"/>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6" name="Text Box 511">
          <a:extLst>
            <a:ext uri="{FF2B5EF4-FFF2-40B4-BE49-F238E27FC236}">
              <a16:creationId xmlns:a16="http://schemas.microsoft.com/office/drawing/2014/main" id="{9D468770-0F66-48DF-801D-F180A1F9455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7" name="Text Box 512">
          <a:extLst>
            <a:ext uri="{FF2B5EF4-FFF2-40B4-BE49-F238E27FC236}">
              <a16:creationId xmlns:a16="http://schemas.microsoft.com/office/drawing/2014/main" id="{FD78E418-4D2F-4427-B474-72FC47C37022}"/>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8" name="Text Box 513">
          <a:extLst>
            <a:ext uri="{FF2B5EF4-FFF2-40B4-BE49-F238E27FC236}">
              <a16:creationId xmlns:a16="http://schemas.microsoft.com/office/drawing/2014/main" id="{43A10CC7-8C5E-4C85-9CAB-02138612ACD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19" name="Text Box 514">
          <a:extLst>
            <a:ext uri="{FF2B5EF4-FFF2-40B4-BE49-F238E27FC236}">
              <a16:creationId xmlns:a16="http://schemas.microsoft.com/office/drawing/2014/main" id="{FBF58AC3-FBBE-4E31-93FA-4796777F079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0" name="Text Box 515">
          <a:extLst>
            <a:ext uri="{FF2B5EF4-FFF2-40B4-BE49-F238E27FC236}">
              <a16:creationId xmlns:a16="http://schemas.microsoft.com/office/drawing/2014/main" id="{87C5185F-EB88-4B31-9A7D-2FAE9ACBDCD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1" name="Text Box 516">
          <a:extLst>
            <a:ext uri="{FF2B5EF4-FFF2-40B4-BE49-F238E27FC236}">
              <a16:creationId xmlns:a16="http://schemas.microsoft.com/office/drawing/2014/main" id="{71C9D828-2322-40A2-AE41-26937916FC6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2" name="Text Box 517">
          <a:extLst>
            <a:ext uri="{FF2B5EF4-FFF2-40B4-BE49-F238E27FC236}">
              <a16:creationId xmlns:a16="http://schemas.microsoft.com/office/drawing/2014/main" id="{B0FF32FF-B7D0-4870-92E1-21656094DF72}"/>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3" name="Text Box 518">
          <a:extLst>
            <a:ext uri="{FF2B5EF4-FFF2-40B4-BE49-F238E27FC236}">
              <a16:creationId xmlns:a16="http://schemas.microsoft.com/office/drawing/2014/main" id="{CF20689F-AA79-45E6-9D52-D3449E5BABF7}"/>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4" name="Text Box 519">
          <a:extLst>
            <a:ext uri="{FF2B5EF4-FFF2-40B4-BE49-F238E27FC236}">
              <a16:creationId xmlns:a16="http://schemas.microsoft.com/office/drawing/2014/main" id="{C15A5888-4895-41BF-AE6C-ED88D68C6C2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5" name="Text Box 520">
          <a:extLst>
            <a:ext uri="{FF2B5EF4-FFF2-40B4-BE49-F238E27FC236}">
              <a16:creationId xmlns:a16="http://schemas.microsoft.com/office/drawing/2014/main" id="{E3ED2095-6F25-4283-A4FA-CBCB0116118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6" name="Text Box 521">
          <a:extLst>
            <a:ext uri="{FF2B5EF4-FFF2-40B4-BE49-F238E27FC236}">
              <a16:creationId xmlns:a16="http://schemas.microsoft.com/office/drawing/2014/main" id="{C3E416F2-4AB4-46CA-B6DF-9CED55F5A2E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7" name="Text Box 522">
          <a:extLst>
            <a:ext uri="{FF2B5EF4-FFF2-40B4-BE49-F238E27FC236}">
              <a16:creationId xmlns:a16="http://schemas.microsoft.com/office/drawing/2014/main" id="{5D692D62-C252-4C3B-9C1A-015E3E7C1368}"/>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8" name="Text Box 523">
          <a:extLst>
            <a:ext uri="{FF2B5EF4-FFF2-40B4-BE49-F238E27FC236}">
              <a16:creationId xmlns:a16="http://schemas.microsoft.com/office/drawing/2014/main" id="{E3D09A44-BA5F-4603-A38D-BB8B4646E545}"/>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29" name="Text Box 524">
          <a:extLst>
            <a:ext uri="{FF2B5EF4-FFF2-40B4-BE49-F238E27FC236}">
              <a16:creationId xmlns:a16="http://schemas.microsoft.com/office/drawing/2014/main" id="{16A6B34D-6FED-4C08-A472-05E61CC0967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0" name="Text Box 525">
          <a:extLst>
            <a:ext uri="{FF2B5EF4-FFF2-40B4-BE49-F238E27FC236}">
              <a16:creationId xmlns:a16="http://schemas.microsoft.com/office/drawing/2014/main" id="{BBBA4A31-2420-4164-8AFA-CF600F472EA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1" name="Text Box 526">
          <a:extLst>
            <a:ext uri="{FF2B5EF4-FFF2-40B4-BE49-F238E27FC236}">
              <a16:creationId xmlns:a16="http://schemas.microsoft.com/office/drawing/2014/main" id="{1141ABF3-4686-4E36-ADFC-8075E362A79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2" name="Text Box 527">
          <a:extLst>
            <a:ext uri="{FF2B5EF4-FFF2-40B4-BE49-F238E27FC236}">
              <a16:creationId xmlns:a16="http://schemas.microsoft.com/office/drawing/2014/main" id="{3C166DC9-F6E4-4339-A11C-6FA2713E1802}"/>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3" name="Text Box 528">
          <a:extLst>
            <a:ext uri="{FF2B5EF4-FFF2-40B4-BE49-F238E27FC236}">
              <a16:creationId xmlns:a16="http://schemas.microsoft.com/office/drawing/2014/main" id="{95FA4169-9ABC-487C-B1E5-4E859391CE3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4" name="Text Box 529">
          <a:extLst>
            <a:ext uri="{FF2B5EF4-FFF2-40B4-BE49-F238E27FC236}">
              <a16:creationId xmlns:a16="http://schemas.microsoft.com/office/drawing/2014/main" id="{3FF1A178-8C90-49CF-A8D7-FFB4D293031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5" name="Text Box 530">
          <a:extLst>
            <a:ext uri="{FF2B5EF4-FFF2-40B4-BE49-F238E27FC236}">
              <a16:creationId xmlns:a16="http://schemas.microsoft.com/office/drawing/2014/main" id="{C9E89C44-E5B3-470D-8734-A985DB2B638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6" name="Text Box 531">
          <a:extLst>
            <a:ext uri="{FF2B5EF4-FFF2-40B4-BE49-F238E27FC236}">
              <a16:creationId xmlns:a16="http://schemas.microsoft.com/office/drawing/2014/main" id="{0BBB91E8-00E9-4BD1-AEDD-78E61867EAA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7" name="Text Box 532">
          <a:extLst>
            <a:ext uri="{FF2B5EF4-FFF2-40B4-BE49-F238E27FC236}">
              <a16:creationId xmlns:a16="http://schemas.microsoft.com/office/drawing/2014/main" id="{39E77AD5-B803-4824-B23C-3D450D81F7CF}"/>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8" name="Text Box 533">
          <a:extLst>
            <a:ext uri="{FF2B5EF4-FFF2-40B4-BE49-F238E27FC236}">
              <a16:creationId xmlns:a16="http://schemas.microsoft.com/office/drawing/2014/main" id="{A676CAEE-2AEF-4C5C-BD5C-8DB2244513A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39" name="Text Box 534">
          <a:extLst>
            <a:ext uri="{FF2B5EF4-FFF2-40B4-BE49-F238E27FC236}">
              <a16:creationId xmlns:a16="http://schemas.microsoft.com/office/drawing/2014/main" id="{A7E64B11-8DAE-4ADB-A1B9-800CF9FA5B87}"/>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0" name="Text Box 535">
          <a:extLst>
            <a:ext uri="{FF2B5EF4-FFF2-40B4-BE49-F238E27FC236}">
              <a16:creationId xmlns:a16="http://schemas.microsoft.com/office/drawing/2014/main" id="{C1602429-44C5-49EA-B651-50C0C5632420}"/>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1" name="Text Box 536">
          <a:extLst>
            <a:ext uri="{FF2B5EF4-FFF2-40B4-BE49-F238E27FC236}">
              <a16:creationId xmlns:a16="http://schemas.microsoft.com/office/drawing/2014/main" id="{2B709312-2A93-450C-89D5-EE0BC32427F1}"/>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2" name="Text Box 537">
          <a:extLst>
            <a:ext uri="{FF2B5EF4-FFF2-40B4-BE49-F238E27FC236}">
              <a16:creationId xmlns:a16="http://schemas.microsoft.com/office/drawing/2014/main" id="{126B6FF8-DC70-4997-9EEF-A41AA15DF6D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3" name="Text Box 538">
          <a:extLst>
            <a:ext uri="{FF2B5EF4-FFF2-40B4-BE49-F238E27FC236}">
              <a16:creationId xmlns:a16="http://schemas.microsoft.com/office/drawing/2014/main" id="{1849BA61-B45B-4373-BD84-1796421BEA80}"/>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4" name="Text Box 539">
          <a:extLst>
            <a:ext uri="{FF2B5EF4-FFF2-40B4-BE49-F238E27FC236}">
              <a16:creationId xmlns:a16="http://schemas.microsoft.com/office/drawing/2014/main" id="{A7E4ACE6-F6C2-44D9-A1C9-46F1DDAECCE1}"/>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5" name="Text Box 540">
          <a:extLst>
            <a:ext uri="{FF2B5EF4-FFF2-40B4-BE49-F238E27FC236}">
              <a16:creationId xmlns:a16="http://schemas.microsoft.com/office/drawing/2014/main" id="{3B103AE5-FF18-475B-AA93-9F4F1E88932B}"/>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6" name="Text Box 541">
          <a:extLst>
            <a:ext uri="{FF2B5EF4-FFF2-40B4-BE49-F238E27FC236}">
              <a16:creationId xmlns:a16="http://schemas.microsoft.com/office/drawing/2014/main" id="{2BE35E3B-4DE5-4E06-B72D-4B253FD5601B}"/>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7" name="Text Box 542">
          <a:extLst>
            <a:ext uri="{FF2B5EF4-FFF2-40B4-BE49-F238E27FC236}">
              <a16:creationId xmlns:a16="http://schemas.microsoft.com/office/drawing/2014/main" id="{45A770EF-2AE6-43B0-9DCA-BE30228694C1}"/>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8" name="Text Box 543">
          <a:extLst>
            <a:ext uri="{FF2B5EF4-FFF2-40B4-BE49-F238E27FC236}">
              <a16:creationId xmlns:a16="http://schemas.microsoft.com/office/drawing/2014/main" id="{289D92DF-E269-42C0-9932-026F65CB516D}"/>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49" name="Text Box 544">
          <a:extLst>
            <a:ext uri="{FF2B5EF4-FFF2-40B4-BE49-F238E27FC236}">
              <a16:creationId xmlns:a16="http://schemas.microsoft.com/office/drawing/2014/main" id="{BACD90E9-3BCC-4389-9E2C-8A1FA89548E7}"/>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0" name="Text Box 545">
          <a:extLst>
            <a:ext uri="{FF2B5EF4-FFF2-40B4-BE49-F238E27FC236}">
              <a16:creationId xmlns:a16="http://schemas.microsoft.com/office/drawing/2014/main" id="{C29E0C03-CAE2-49F2-8730-DB8D90EA3015}"/>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1" name="Text Box 546">
          <a:extLst>
            <a:ext uri="{FF2B5EF4-FFF2-40B4-BE49-F238E27FC236}">
              <a16:creationId xmlns:a16="http://schemas.microsoft.com/office/drawing/2014/main" id="{1DBE085D-D202-40B1-8F2E-081D9EEF436F}"/>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2" name="Text Box 547">
          <a:extLst>
            <a:ext uri="{FF2B5EF4-FFF2-40B4-BE49-F238E27FC236}">
              <a16:creationId xmlns:a16="http://schemas.microsoft.com/office/drawing/2014/main" id="{B7EDDD76-83B4-4B20-8139-42859497AA3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3" name="Text Box 548">
          <a:extLst>
            <a:ext uri="{FF2B5EF4-FFF2-40B4-BE49-F238E27FC236}">
              <a16:creationId xmlns:a16="http://schemas.microsoft.com/office/drawing/2014/main" id="{3F70E421-D066-4314-ACF1-C94618F5D98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4" name="Text Box 549">
          <a:extLst>
            <a:ext uri="{FF2B5EF4-FFF2-40B4-BE49-F238E27FC236}">
              <a16:creationId xmlns:a16="http://schemas.microsoft.com/office/drawing/2014/main" id="{0DB54456-F61A-4ADB-9F5D-E34B53AAED62}"/>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5" name="Text Box 550">
          <a:extLst>
            <a:ext uri="{FF2B5EF4-FFF2-40B4-BE49-F238E27FC236}">
              <a16:creationId xmlns:a16="http://schemas.microsoft.com/office/drawing/2014/main" id="{D55FED39-5074-45BE-8016-CFAFFE5DBC24}"/>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6" name="Text Box 551">
          <a:extLst>
            <a:ext uri="{FF2B5EF4-FFF2-40B4-BE49-F238E27FC236}">
              <a16:creationId xmlns:a16="http://schemas.microsoft.com/office/drawing/2014/main" id="{84E70003-4E48-4224-8AF2-37DCBF4ED2EC}"/>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7" name="Text Box 552">
          <a:extLst>
            <a:ext uri="{FF2B5EF4-FFF2-40B4-BE49-F238E27FC236}">
              <a16:creationId xmlns:a16="http://schemas.microsoft.com/office/drawing/2014/main" id="{6E3EF140-75AA-40FA-9E4D-8D477E5677B5}"/>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8" name="Text Box 553">
          <a:extLst>
            <a:ext uri="{FF2B5EF4-FFF2-40B4-BE49-F238E27FC236}">
              <a16:creationId xmlns:a16="http://schemas.microsoft.com/office/drawing/2014/main" id="{FDD7361C-AB98-4EB3-BE30-66FD8130C65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59" name="Text Box 554">
          <a:extLst>
            <a:ext uri="{FF2B5EF4-FFF2-40B4-BE49-F238E27FC236}">
              <a16:creationId xmlns:a16="http://schemas.microsoft.com/office/drawing/2014/main" id="{7D67F2C5-3BE1-4AA3-B4CB-0A1DBE50616F}"/>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0" name="Text Box 555">
          <a:extLst>
            <a:ext uri="{FF2B5EF4-FFF2-40B4-BE49-F238E27FC236}">
              <a16:creationId xmlns:a16="http://schemas.microsoft.com/office/drawing/2014/main" id="{EEF23BED-819B-425F-AB84-48AD60EDC6F0}"/>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1" name="Text Box 556">
          <a:extLst>
            <a:ext uri="{FF2B5EF4-FFF2-40B4-BE49-F238E27FC236}">
              <a16:creationId xmlns:a16="http://schemas.microsoft.com/office/drawing/2014/main" id="{76D67F21-DE91-4C08-ABAC-36522F1B6A1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2" name="Text Box 557">
          <a:extLst>
            <a:ext uri="{FF2B5EF4-FFF2-40B4-BE49-F238E27FC236}">
              <a16:creationId xmlns:a16="http://schemas.microsoft.com/office/drawing/2014/main" id="{2A4A0256-7DBB-4336-A09E-9D0DF97CCC1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3" name="Text Box 558">
          <a:extLst>
            <a:ext uri="{FF2B5EF4-FFF2-40B4-BE49-F238E27FC236}">
              <a16:creationId xmlns:a16="http://schemas.microsoft.com/office/drawing/2014/main" id="{6169E4B2-71EA-4C5C-AEF0-A0F48BE6B04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4" name="Text Box 559">
          <a:extLst>
            <a:ext uri="{FF2B5EF4-FFF2-40B4-BE49-F238E27FC236}">
              <a16:creationId xmlns:a16="http://schemas.microsoft.com/office/drawing/2014/main" id="{99E2A327-78A5-462D-9195-D9E0BBA18D86}"/>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5" name="Text Box 560">
          <a:extLst>
            <a:ext uri="{FF2B5EF4-FFF2-40B4-BE49-F238E27FC236}">
              <a16:creationId xmlns:a16="http://schemas.microsoft.com/office/drawing/2014/main" id="{AC34885E-229E-423C-8314-E19940B6C678}"/>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6" name="Text Box 561">
          <a:extLst>
            <a:ext uri="{FF2B5EF4-FFF2-40B4-BE49-F238E27FC236}">
              <a16:creationId xmlns:a16="http://schemas.microsoft.com/office/drawing/2014/main" id="{B38B4917-6AED-4FC9-90C5-205EE8F402B1}"/>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7" name="Text Box 562">
          <a:extLst>
            <a:ext uri="{FF2B5EF4-FFF2-40B4-BE49-F238E27FC236}">
              <a16:creationId xmlns:a16="http://schemas.microsoft.com/office/drawing/2014/main" id="{F9C084D3-F9C5-4D36-B60F-2FA6DC401C5C}"/>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8" name="Text Box 563">
          <a:extLst>
            <a:ext uri="{FF2B5EF4-FFF2-40B4-BE49-F238E27FC236}">
              <a16:creationId xmlns:a16="http://schemas.microsoft.com/office/drawing/2014/main" id="{AAAAAC70-3777-4FA7-92BD-8294E69EA567}"/>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69" name="Text Box 564">
          <a:extLst>
            <a:ext uri="{FF2B5EF4-FFF2-40B4-BE49-F238E27FC236}">
              <a16:creationId xmlns:a16="http://schemas.microsoft.com/office/drawing/2014/main" id="{4CA79339-8707-447B-98F2-01981D8ED363}"/>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0" name="Text Box 565">
          <a:extLst>
            <a:ext uri="{FF2B5EF4-FFF2-40B4-BE49-F238E27FC236}">
              <a16:creationId xmlns:a16="http://schemas.microsoft.com/office/drawing/2014/main" id="{EF733C3D-7027-4E82-AFED-245A89FA7D8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1" name="Text Box 566">
          <a:extLst>
            <a:ext uri="{FF2B5EF4-FFF2-40B4-BE49-F238E27FC236}">
              <a16:creationId xmlns:a16="http://schemas.microsoft.com/office/drawing/2014/main" id="{B6E772F4-5740-4677-923F-82C56F5A017E}"/>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2" name="Text Box 567">
          <a:extLst>
            <a:ext uri="{FF2B5EF4-FFF2-40B4-BE49-F238E27FC236}">
              <a16:creationId xmlns:a16="http://schemas.microsoft.com/office/drawing/2014/main" id="{4BC2A9DA-F3C9-42FE-99FD-33AF6F00540B}"/>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3" name="Text Box 568">
          <a:extLst>
            <a:ext uri="{FF2B5EF4-FFF2-40B4-BE49-F238E27FC236}">
              <a16:creationId xmlns:a16="http://schemas.microsoft.com/office/drawing/2014/main" id="{68CF7073-8C77-4CD8-9A67-C87424E8B625}"/>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4" name="Text Box 569">
          <a:extLst>
            <a:ext uri="{FF2B5EF4-FFF2-40B4-BE49-F238E27FC236}">
              <a16:creationId xmlns:a16="http://schemas.microsoft.com/office/drawing/2014/main" id="{A5F13B6B-D243-4442-9D50-4EE01AD2795B}"/>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oneCellAnchor>
    <xdr:from>
      <xdr:col>3</xdr:col>
      <xdr:colOff>0</xdr:colOff>
      <xdr:row>105</xdr:row>
      <xdr:rowOff>0</xdr:rowOff>
    </xdr:from>
    <xdr:ext cx="76200" cy="200025"/>
    <xdr:sp macro="" textlink="">
      <xdr:nvSpPr>
        <xdr:cNvPr id="75" name="Text Box 570">
          <a:extLst>
            <a:ext uri="{FF2B5EF4-FFF2-40B4-BE49-F238E27FC236}">
              <a16:creationId xmlns:a16="http://schemas.microsoft.com/office/drawing/2014/main" id="{90921D21-8D55-4A76-AFA9-7164F40FAB2A}"/>
            </a:ext>
          </a:extLst>
        </xdr:cNvPr>
        <xdr:cNvSpPr txBox="1">
          <a:spLocks noChangeArrowheads="1"/>
        </xdr:cNvSpPr>
      </xdr:nvSpPr>
      <xdr:spPr bwMode="auto">
        <a:xfrm>
          <a:off x="4905375" y="20802600"/>
          <a:ext cx="76200" cy="200025"/>
        </a:xfrm>
        <a:prstGeom prst="rect">
          <a:avLst/>
        </a:prstGeom>
        <a:noFill/>
        <a:ln w="9525">
          <a:noFill/>
          <a:miter lim="800000"/>
          <a:headEnd/>
          <a:tailEnd/>
        </a:ln>
      </xdr:spPr>
    </xdr:sp>
    <xdr:clientData/>
  </xdr:oneCellAnchor>
  <xdr:twoCellAnchor editAs="oneCell">
    <xdr:from>
      <xdr:col>2</xdr:col>
      <xdr:colOff>2019300</xdr:colOff>
      <xdr:row>105</xdr:row>
      <xdr:rowOff>0</xdr:rowOff>
    </xdr:from>
    <xdr:to>
      <xdr:col>2</xdr:col>
      <xdr:colOff>2019300</xdr:colOff>
      <xdr:row>107</xdr:row>
      <xdr:rowOff>396931</xdr:rowOff>
    </xdr:to>
    <xdr:sp macro="" textlink="">
      <xdr:nvSpPr>
        <xdr:cNvPr id="76" name="Text 13315">
          <a:extLst>
            <a:ext uri="{FF2B5EF4-FFF2-40B4-BE49-F238E27FC236}">
              <a16:creationId xmlns:a16="http://schemas.microsoft.com/office/drawing/2014/main" id="{4503FEC9-7BDD-46F8-AB69-EE2C3AE76EA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77" name="Text 13316">
          <a:extLst>
            <a:ext uri="{FF2B5EF4-FFF2-40B4-BE49-F238E27FC236}">
              <a16:creationId xmlns:a16="http://schemas.microsoft.com/office/drawing/2014/main" id="{44B6F438-A780-472B-B08B-6032205A20C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78" name="Text 13317">
          <a:extLst>
            <a:ext uri="{FF2B5EF4-FFF2-40B4-BE49-F238E27FC236}">
              <a16:creationId xmlns:a16="http://schemas.microsoft.com/office/drawing/2014/main" id="{FF5BEEE8-080F-46D3-A389-9A4A1F32D29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79" name="Text 13318">
          <a:extLst>
            <a:ext uri="{FF2B5EF4-FFF2-40B4-BE49-F238E27FC236}">
              <a16:creationId xmlns:a16="http://schemas.microsoft.com/office/drawing/2014/main" id="{DFB347CE-D726-4A50-A5CE-5F38FC1CD7CF}"/>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0" name="Text 13319">
          <a:extLst>
            <a:ext uri="{FF2B5EF4-FFF2-40B4-BE49-F238E27FC236}">
              <a16:creationId xmlns:a16="http://schemas.microsoft.com/office/drawing/2014/main" id="{8732850B-F4A8-4C13-9A78-0227DD8762A1}"/>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1" name="Text 13320">
          <a:extLst>
            <a:ext uri="{FF2B5EF4-FFF2-40B4-BE49-F238E27FC236}">
              <a16:creationId xmlns:a16="http://schemas.microsoft.com/office/drawing/2014/main" id="{D9B028EE-41AE-4EDE-B880-A5CAE1713EF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2" name="Text 13321">
          <a:extLst>
            <a:ext uri="{FF2B5EF4-FFF2-40B4-BE49-F238E27FC236}">
              <a16:creationId xmlns:a16="http://schemas.microsoft.com/office/drawing/2014/main" id="{C4BE69EB-6C77-4628-B40E-9CCADA35DC84}"/>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3" name="Text 13322">
          <a:extLst>
            <a:ext uri="{FF2B5EF4-FFF2-40B4-BE49-F238E27FC236}">
              <a16:creationId xmlns:a16="http://schemas.microsoft.com/office/drawing/2014/main" id="{A894B57C-7856-4EA3-BF77-4E22232AFCBA}"/>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4" name="Text 13323">
          <a:extLst>
            <a:ext uri="{FF2B5EF4-FFF2-40B4-BE49-F238E27FC236}">
              <a16:creationId xmlns:a16="http://schemas.microsoft.com/office/drawing/2014/main" id="{A3F58670-F19A-4405-962E-378A83450712}"/>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5" name="Text 13324">
          <a:extLst>
            <a:ext uri="{FF2B5EF4-FFF2-40B4-BE49-F238E27FC236}">
              <a16:creationId xmlns:a16="http://schemas.microsoft.com/office/drawing/2014/main" id="{6081CC61-89EE-4AC6-8CAC-47AEAAB15A3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6" name="Text 13325">
          <a:extLst>
            <a:ext uri="{FF2B5EF4-FFF2-40B4-BE49-F238E27FC236}">
              <a16:creationId xmlns:a16="http://schemas.microsoft.com/office/drawing/2014/main" id="{E181BA30-2305-4FD9-B4B1-849976CD602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7" name="Text 13326">
          <a:extLst>
            <a:ext uri="{FF2B5EF4-FFF2-40B4-BE49-F238E27FC236}">
              <a16:creationId xmlns:a16="http://schemas.microsoft.com/office/drawing/2014/main" id="{9E58A923-6E52-468B-888C-BCE331EC0A8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8" name="Text 13327">
          <a:extLst>
            <a:ext uri="{FF2B5EF4-FFF2-40B4-BE49-F238E27FC236}">
              <a16:creationId xmlns:a16="http://schemas.microsoft.com/office/drawing/2014/main" id="{E66772F3-D21C-4924-AD84-7521DAA8668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89" name="Text 13328">
          <a:extLst>
            <a:ext uri="{FF2B5EF4-FFF2-40B4-BE49-F238E27FC236}">
              <a16:creationId xmlns:a16="http://schemas.microsoft.com/office/drawing/2014/main" id="{06544F18-B106-4518-86E7-0693CDC57DCA}"/>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0" name="Text 13329">
          <a:extLst>
            <a:ext uri="{FF2B5EF4-FFF2-40B4-BE49-F238E27FC236}">
              <a16:creationId xmlns:a16="http://schemas.microsoft.com/office/drawing/2014/main" id="{7462EAB6-7D79-4483-9CBC-9544C16D5F87}"/>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1" name="Text 13330">
          <a:extLst>
            <a:ext uri="{FF2B5EF4-FFF2-40B4-BE49-F238E27FC236}">
              <a16:creationId xmlns:a16="http://schemas.microsoft.com/office/drawing/2014/main" id="{87043E07-CC39-4E95-8F61-E7EE9406200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2" name="Text 13331">
          <a:extLst>
            <a:ext uri="{FF2B5EF4-FFF2-40B4-BE49-F238E27FC236}">
              <a16:creationId xmlns:a16="http://schemas.microsoft.com/office/drawing/2014/main" id="{BE23508D-7D6F-4A57-9478-1DEE5EFB504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3" name="Text 13332">
          <a:extLst>
            <a:ext uri="{FF2B5EF4-FFF2-40B4-BE49-F238E27FC236}">
              <a16:creationId xmlns:a16="http://schemas.microsoft.com/office/drawing/2014/main" id="{D63CD3D4-C06C-4D92-9CA7-755AD9A27BA4}"/>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4" name="Text 13315">
          <a:extLst>
            <a:ext uri="{FF2B5EF4-FFF2-40B4-BE49-F238E27FC236}">
              <a16:creationId xmlns:a16="http://schemas.microsoft.com/office/drawing/2014/main" id="{17BC5361-7997-48E4-97CF-DA27C02A544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5" name="Text 13316">
          <a:extLst>
            <a:ext uri="{FF2B5EF4-FFF2-40B4-BE49-F238E27FC236}">
              <a16:creationId xmlns:a16="http://schemas.microsoft.com/office/drawing/2014/main" id="{D5C64BD0-F2B9-439E-982D-2865B1F2F69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6" name="Text 13317">
          <a:extLst>
            <a:ext uri="{FF2B5EF4-FFF2-40B4-BE49-F238E27FC236}">
              <a16:creationId xmlns:a16="http://schemas.microsoft.com/office/drawing/2014/main" id="{4F100A0D-E935-4CC5-BAA9-19D9393DF84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7" name="Text 13318">
          <a:extLst>
            <a:ext uri="{FF2B5EF4-FFF2-40B4-BE49-F238E27FC236}">
              <a16:creationId xmlns:a16="http://schemas.microsoft.com/office/drawing/2014/main" id="{5E05ABD3-8B4F-4CF3-ADF0-CFBB6BCC562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8" name="Text 13319">
          <a:extLst>
            <a:ext uri="{FF2B5EF4-FFF2-40B4-BE49-F238E27FC236}">
              <a16:creationId xmlns:a16="http://schemas.microsoft.com/office/drawing/2014/main" id="{9E7B3E27-151C-4CAA-BA00-7FEE57D6295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99" name="Text 13320">
          <a:extLst>
            <a:ext uri="{FF2B5EF4-FFF2-40B4-BE49-F238E27FC236}">
              <a16:creationId xmlns:a16="http://schemas.microsoft.com/office/drawing/2014/main" id="{20BFEA7F-DED9-4D19-B13A-CA3DEC37F192}"/>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0" name="Text 13321">
          <a:extLst>
            <a:ext uri="{FF2B5EF4-FFF2-40B4-BE49-F238E27FC236}">
              <a16:creationId xmlns:a16="http://schemas.microsoft.com/office/drawing/2014/main" id="{29F2A5A9-0D3F-4619-9ACB-0856E379580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1" name="Text 13322">
          <a:extLst>
            <a:ext uri="{FF2B5EF4-FFF2-40B4-BE49-F238E27FC236}">
              <a16:creationId xmlns:a16="http://schemas.microsoft.com/office/drawing/2014/main" id="{C0954F6E-9708-4D05-B67C-783AB555760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2" name="Text 13323">
          <a:extLst>
            <a:ext uri="{FF2B5EF4-FFF2-40B4-BE49-F238E27FC236}">
              <a16:creationId xmlns:a16="http://schemas.microsoft.com/office/drawing/2014/main" id="{10991CD3-59B0-41F7-8677-0AC36DDC3B2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3" name="Text 13324">
          <a:extLst>
            <a:ext uri="{FF2B5EF4-FFF2-40B4-BE49-F238E27FC236}">
              <a16:creationId xmlns:a16="http://schemas.microsoft.com/office/drawing/2014/main" id="{5421CA62-A301-47E9-B41E-94C3530FAD1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4" name="Text 13325">
          <a:extLst>
            <a:ext uri="{FF2B5EF4-FFF2-40B4-BE49-F238E27FC236}">
              <a16:creationId xmlns:a16="http://schemas.microsoft.com/office/drawing/2014/main" id="{AA42476A-1828-452C-AA7D-B5C70DEDB5A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5" name="Text 13326">
          <a:extLst>
            <a:ext uri="{FF2B5EF4-FFF2-40B4-BE49-F238E27FC236}">
              <a16:creationId xmlns:a16="http://schemas.microsoft.com/office/drawing/2014/main" id="{56F58F8C-FD17-49E8-B440-E0CD31F9F950}"/>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6" name="Text 13327">
          <a:extLst>
            <a:ext uri="{FF2B5EF4-FFF2-40B4-BE49-F238E27FC236}">
              <a16:creationId xmlns:a16="http://schemas.microsoft.com/office/drawing/2014/main" id="{A7074AA0-DFD9-433D-A009-F8128666535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7" name="Text 13328">
          <a:extLst>
            <a:ext uri="{FF2B5EF4-FFF2-40B4-BE49-F238E27FC236}">
              <a16:creationId xmlns:a16="http://schemas.microsoft.com/office/drawing/2014/main" id="{D87E228D-F7CF-4D8C-97C5-CFD4518F2E98}"/>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8" name="Text 13329">
          <a:extLst>
            <a:ext uri="{FF2B5EF4-FFF2-40B4-BE49-F238E27FC236}">
              <a16:creationId xmlns:a16="http://schemas.microsoft.com/office/drawing/2014/main" id="{0CD7835C-54DA-497A-A785-9380247814B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09" name="Text 13330">
          <a:extLst>
            <a:ext uri="{FF2B5EF4-FFF2-40B4-BE49-F238E27FC236}">
              <a16:creationId xmlns:a16="http://schemas.microsoft.com/office/drawing/2014/main" id="{889BF920-2896-445B-B892-CF99BD7B007A}"/>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0" name="Text 13331">
          <a:extLst>
            <a:ext uri="{FF2B5EF4-FFF2-40B4-BE49-F238E27FC236}">
              <a16:creationId xmlns:a16="http://schemas.microsoft.com/office/drawing/2014/main" id="{5C5BD3C9-7091-4D0C-B0C1-FE0D2AEF9D8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1" name="Text 13332">
          <a:extLst>
            <a:ext uri="{FF2B5EF4-FFF2-40B4-BE49-F238E27FC236}">
              <a16:creationId xmlns:a16="http://schemas.microsoft.com/office/drawing/2014/main" id="{2E59EE20-1679-460E-A29D-AAA57FA38711}"/>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2" name="Text 13315">
          <a:extLst>
            <a:ext uri="{FF2B5EF4-FFF2-40B4-BE49-F238E27FC236}">
              <a16:creationId xmlns:a16="http://schemas.microsoft.com/office/drawing/2014/main" id="{7FBBFB9B-F0B9-472E-B0E8-4D398FEBAA2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3" name="Text 13316">
          <a:extLst>
            <a:ext uri="{FF2B5EF4-FFF2-40B4-BE49-F238E27FC236}">
              <a16:creationId xmlns:a16="http://schemas.microsoft.com/office/drawing/2014/main" id="{35D23A6D-73A7-41AF-8434-707D8DB4AF1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4" name="Text 13317">
          <a:extLst>
            <a:ext uri="{FF2B5EF4-FFF2-40B4-BE49-F238E27FC236}">
              <a16:creationId xmlns:a16="http://schemas.microsoft.com/office/drawing/2014/main" id="{99F38F93-9DC4-4FF7-A4CE-779E7202B2A5}"/>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5" name="Text 13318">
          <a:extLst>
            <a:ext uri="{FF2B5EF4-FFF2-40B4-BE49-F238E27FC236}">
              <a16:creationId xmlns:a16="http://schemas.microsoft.com/office/drawing/2014/main" id="{A9B732A2-5CA5-409C-BB4A-E93350CADF78}"/>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6" name="Text 13319">
          <a:extLst>
            <a:ext uri="{FF2B5EF4-FFF2-40B4-BE49-F238E27FC236}">
              <a16:creationId xmlns:a16="http://schemas.microsoft.com/office/drawing/2014/main" id="{A1F3C22B-ECE0-4A41-998A-2FEB797BE95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7" name="Text 13320">
          <a:extLst>
            <a:ext uri="{FF2B5EF4-FFF2-40B4-BE49-F238E27FC236}">
              <a16:creationId xmlns:a16="http://schemas.microsoft.com/office/drawing/2014/main" id="{C399D681-D3A3-4BA2-AF54-CF08B94C1A92}"/>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8" name="Text 13321">
          <a:extLst>
            <a:ext uri="{FF2B5EF4-FFF2-40B4-BE49-F238E27FC236}">
              <a16:creationId xmlns:a16="http://schemas.microsoft.com/office/drawing/2014/main" id="{050BC87F-FB13-458C-8278-BDBD0C926682}"/>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19" name="Text 13322">
          <a:extLst>
            <a:ext uri="{FF2B5EF4-FFF2-40B4-BE49-F238E27FC236}">
              <a16:creationId xmlns:a16="http://schemas.microsoft.com/office/drawing/2014/main" id="{40354197-E248-493E-A6FA-46E9FE166ABC}"/>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0" name="Text 13323">
          <a:extLst>
            <a:ext uri="{FF2B5EF4-FFF2-40B4-BE49-F238E27FC236}">
              <a16:creationId xmlns:a16="http://schemas.microsoft.com/office/drawing/2014/main" id="{2D6A0093-C38C-4FE8-9483-3B9143934109}"/>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1" name="Text 13324">
          <a:extLst>
            <a:ext uri="{FF2B5EF4-FFF2-40B4-BE49-F238E27FC236}">
              <a16:creationId xmlns:a16="http://schemas.microsoft.com/office/drawing/2014/main" id="{F74F7B10-982F-4410-83EE-3DC71CC2E97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2" name="Text 13325">
          <a:extLst>
            <a:ext uri="{FF2B5EF4-FFF2-40B4-BE49-F238E27FC236}">
              <a16:creationId xmlns:a16="http://schemas.microsoft.com/office/drawing/2014/main" id="{0068AA4E-422F-4659-BFC0-CE3D3B427AC5}"/>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3" name="Text 13326">
          <a:extLst>
            <a:ext uri="{FF2B5EF4-FFF2-40B4-BE49-F238E27FC236}">
              <a16:creationId xmlns:a16="http://schemas.microsoft.com/office/drawing/2014/main" id="{84EA03B4-B992-491B-B0B7-8C326F33123A}"/>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4" name="Text 13327">
          <a:extLst>
            <a:ext uri="{FF2B5EF4-FFF2-40B4-BE49-F238E27FC236}">
              <a16:creationId xmlns:a16="http://schemas.microsoft.com/office/drawing/2014/main" id="{35169A40-4661-468D-A71A-AA0CC1DC3288}"/>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5" name="Text 13328">
          <a:extLst>
            <a:ext uri="{FF2B5EF4-FFF2-40B4-BE49-F238E27FC236}">
              <a16:creationId xmlns:a16="http://schemas.microsoft.com/office/drawing/2014/main" id="{E69BA13E-335E-4C24-BF93-F0FACE95F8AF}"/>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6" name="Text 13329">
          <a:extLst>
            <a:ext uri="{FF2B5EF4-FFF2-40B4-BE49-F238E27FC236}">
              <a16:creationId xmlns:a16="http://schemas.microsoft.com/office/drawing/2014/main" id="{082B6C21-6556-4E2A-AD82-12D7E3C46E6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7" name="Text 13330">
          <a:extLst>
            <a:ext uri="{FF2B5EF4-FFF2-40B4-BE49-F238E27FC236}">
              <a16:creationId xmlns:a16="http://schemas.microsoft.com/office/drawing/2014/main" id="{0F0A019F-B033-422E-8E97-F1BAA0F7FE22}"/>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8" name="Text 13331">
          <a:extLst>
            <a:ext uri="{FF2B5EF4-FFF2-40B4-BE49-F238E27FC236}">
              <a16:creationId xmlns:a16="http://schemas.microsoft.com/office/drawing/2014/main" id="{6C99B0A8-816A-49E5-97AE-774279EEF207}"/>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29" name="Text 13332">
          <a:extLst>
            <a:ext uri="{FF2B5EF4-FFF2-40B4-BE49-F238E27FC236}">
              <a16:creationId xmlns:a16="http://schemas.microsoft.com/office/drawing/2014/main" id="{116411CE-C84F-4AFE-971F-FF1C93B71D1C}"/>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0" name="Text 13315">
          <a:extLst>
            <a:ext uri="{FF2B5EF4-FFF2-40B4-BE49-F238E27FC236}">
              <a16:creationId xmlns:a16="http://schemas.microsoft.com/office/drawing/2014/main" id="{27C58016-1589-4412-90A9-7506BB8C1BCB}"/>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1" name="Text 13316">
          <a:extLst>
            <a:ext uri="{FF2B5EF4-FFF2-40B4-BE49-F238E27FC236}">
              <a16:creationId xmlns:a16="http://schemas.microsoft.com/office/drawing/2014/main" id="{FB54E9C9-5A5A-4965-A849-3AD7807D688C}"/>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2" name="Text 13317">
          <a:extLst>
            <a:ext uri="{FF2B5EF4-FFF2-40B4-BE49-F238E27FC236}">
              <a16:creationId xmlns:a16="http://schemas.microsoft.com/office/drawing/2014/main" id="{AF474DA8-B825-438D-874A-3AF5A582BC4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3" name="Text 13318">
          <a:extLst>
            <a:ext uri="{FF2B5EF4-FFF2-40B4-BE49-F238E27FC236}">
              <a16:creationId xmlns:a16="http://schemas.microsoft.com/office/drawing/2014/main" id="{053592C5-2DE3-4847-A229-CBA76495F2B7}"/>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4" name="Text 13319">
          <a:extLst>
            <a:ext uri="{FF2B5EF4-FFF2-40B4-BE49-F238E27FC236}">
              <a16:creationId xmlns:a16="http://schemas.microsoft.com/office/drawing/2014/main" id="{AE4293C5-B430-43C1-A77D-EDA89AB02144}"/>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5" name="Text 13320">
          <a:extLst>
            <a:ext uri="{FF2B5EF4-FFF2-40B4-BE49-F238E27FC236}">
              <a16:creationId xmlns:a16="http://schemas.microsoft.com/office/drawing/2014/main" id="{77EE242C-8843-47F0-928C-DD87D9561BA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6" name="Text 13321">
          <a:extLst>
            <a:ext uri="{FF2B5EF4-FFF2-40B4-BE49-F238E27FC236}">
              <a16:creationId xmlns:a16="http://schemas.microsoft.com/office/drawing/2014/main" id="{548E219B-37A1-4755-9116-EA5CD053BA8B}"/>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7" name="Text 13322">
          <a:extLst>
            <a:ext uri="{FF2B5EF4-FFF2-40B4-BE49-F238E27FC236}">
              <a16:creationId xmlns:a16="http://schemas.microsoft.com/office/drawing/2014/main" id="{20B861BF-AEE9-4478-9DC1-CBB91BFD9C41}"/>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8" name="Text 13323">
          <a:extLst>
            <a:ext uri="{FF2B5EF4-FFF2-40B4-BE49-F238E27FC236}">
              <a16:creationId xmlns:a16="http://schemas.microsoft.com/office/drawing/2014/main" id="{5AC9951A-4997-49ED-B29D-8ED743ED8EF7}"/>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39" name="Text 13324">
          <a:extLst>
            <a:ext uri="{FF2B5EF4-FFF2-40B4-BE49-F238E27FC236}">
              <a16:creationId xmlns:a16="http://schemas.microsoft.com/office/drawing/2014/main" id="{69E4FA06-33EE-4333-8609-401A96058A5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0" name="Text 13325">
          <a:extLst>
            <a:ext uri="{FF2B5EF4-FFF2-40B4-BE49-F238E27FC236}">
              <a16:creationId xmlns:a16="http://schemas.microsoft.com/office/drawing/2014/main" id="{532036DF-C807-4349-A69B-6741B472305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1" name="Text 13326">
          <a:extLst>
            <a:ext uri="{FF2B5EF4-FFF2-40B4-BE49-F238E27FC236}">
              <a16:creationId xmlns:a16="http://schemas.microsoft.com/office/drawing/2014/main" id="{870035C4-F6A9-4122-BC32-9F62CD62165B}"/>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2" name="Text 13327">
          <a:extLst>
            <a:ext uri="{FF2B5EF4-FFF2-40B4-BE49-F238E27FC236}">
              <a16:creationId xmlns:a16="http://schemas.microsoft.com/office/drawing/2014/main" id="{634183F7-A82A-4FA2-BE44-95F9B3B39884}"/>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3" name="Text 13328">
          <a:extLst>
            <a:ext uri="{FF2B5EF4-FFF2-40B4-BE49-F238E27FC236}">
              <a16:creationId xmlns:a16="http://schemas.microsoft.com/office/drawing/2014/main" id="{0E027909-4625-477E-8D79-DD3AA90EC92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4" name="Text 13329">
          <a:extLst>
            <a:ext uri="{FF2B5EF4-FFF2-40B4-BE49-F238E27FC236}">
              <a16:creationId xmlns:a16="http://schemas.microsoft.com/office/drawing/2014/main" id="{E655333F-9B3F-4086-9DFD-B28F20DD8A17}"/>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5" name="Text 13330">
          <a:extLst>
            <a:ext uri="{FF2B5EF4-FFF2-40B4-BE49-F238E27FC236}">
              <a16:creationId xmlns:a16="http://schemas.microsoft.com/office/drawing/2014/main" id="{D4F2E5EC-0D6E-4F6B-B7D6-DEFB18D05B95}"/>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6" name="Text 13331">
          <a:extLst>
            <a:ext uri="{FF2B5EF4-FFF2-40B4-BE49-F238E27FC236}">
              <a16:creationId xmlns:a16="http://schemas.microsoft.com/office/drawing/2014/main" id="{7C1AACF6-A1F5-4761-AC52-A1ED8D0DB71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7" name="Text 13332">
          <a:extLst>
            <a:ext uri="{FF2B5EF4-FFF2-40B4-BE49-F238E27FC236}">
              <a16:creationId xmlns:a16="http://schemas.microsoft.com/office/drawing/2014/main" id="{332FF8F6-4072-43B7-ACF3-3433ADC5C63C}"/>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8" name="Text 13315">
          <a:extLst>
            <a:ext uri="{FF2B5EF4-FFF2-40B4-BE49-F238E27FC236}">
              <a16:creationId xmlns:a16="http://schemas.microsoft.com/office/drawing/2014/main" id="{9D7014DE-F591-43F3-AE48-ABC65E06594B}"/>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49" name="Text 13316">
          <a:extLst>
            <a:ext uri="{FF2B5EF4-FFF2-40B4-BE49-F238E27FC236}">
              <a16:creationId xmlns:a16="http://schemas.microsoft.com/office/drawing/2014/main" id="{1B99DC3E-C523-4F53-9885-DDEF9A1CF06A}"/>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0" name="Text 13317">
          <a:extLst>
            <a:ext uri="{FF2B5EF4-FFF2-40B4-BE49-F238E27FC236}">
              <a16:creationId xmlns:a16="http://schemas.microsoft.com/office/drawing/2014/main" id="{0C94762A-D8FC-4D73-A95E-4EB978D003C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1" name="Text 13318">
          <a:extLst>
            <a:ext uri="{FF2B5EF4-FFF2-40B4-BE49-F238E27FC236}">
              <a16:creationId xmlns:a16="http://schemas.microsoft.com/office/drawing/2014/main" id="{B5338D79-C8EC-4CA8-ADD9-404DCD8E5DFB}"/>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2" name="Text 13319">
          <a:extLst>
            <a:ext uri="{FF2B5EF4-FFF2-40B4-BE49-F238E27FC236}">
              <a16:creationId xmlns:a16="http://schemas.microsoft.com/office/drawing/2014/main" id="{C2BADD2E-ACCC-4B5D-A9A9-997EA9E1F034}"/>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3" name="Text 13320">
          <a:extLst>
            <a:ext uri="{FF2B5EF4-FFF2-40B4-BE49-F238E27FC236}">
              <a16:creationId xmlns:a16="http://schemas.microsoft.com/office/drawing/2014/main" id="{B9C40D51-576C-4950-A61A-CA41404738AF}"/>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4" name="Text 13321">
          <a:extLst>
            <a:ext uri="{FF2B5EF4-FFF2-40B4-BE49-F238E27FC236}">
              <a16:creationId xmlns:a16="http://schemas.microsoft.com/office/drawing/2014/main" id="{D016E8E1-2B8F-4779-BB1B-6DD5F23049C8}"/>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5" name="Text 13322">
          <a:extLst>
            <a:ext uri="{FF2B5EF4-FFF2-40B4-BE49-F238E27FC236}">
              <a16:creationId xmlns:a16="http://schemas.microsoft.com/office/drawing/2014/main" id="{D390806B-B90C-4458-BC58-6E1824B67E1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6" name="Text 13323">
          <a:extLst>
            <a:ext uri="{FF2B5EF4-FFF2-40B4-BE49-F238E27FC236}">
              <a16:creationId xmlns:a16="http://schemas.microsoft.com/office/drawing/2014/main" id="{1926765C-B4E1-42D0-AE31-6E5E13D59CB0}"/>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7" name="Text 13324">
          <a:extLst>
            <a:ext uri="{FF2B5EF4-FFF2-40B4-BE49-F238E27FC236}">
              <a16:creationId xmlns:a16="http://schemas.microsoft.com/office/drawing/2014/main" id="{E750664B-9CE2-4180-AAAA-462A63D52140}"/>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8" name="Text 13325">
          <a:extLst>
            <a:ext uri="{FF2B5EF4-FFF2-40B4-BE49-F238E27FC236}">
              <a16:creationId xmlns:a16="http://schemas.microsoft.com/office/drawing/2014/main" id="{25BD1503-DD34-4FAA-867A-E8F9F9391390}"/>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59" name="Text 13326">
          <a:extLst>
            <a:ext uri="{FF2B5EF4-FFF2-40B4-BE49-F238E27FC236}">
              <a16:creationId xmlns:a16="http://schemas.microsoft.com/office/drawing/2014/main" id="{C0C4E203-8D79-4AD7-B3C9-64EE36968A73}"/>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0" name="Text 13327">
          <a:extLst>
            <a:ext uri="{FF2B5EF4-FFF2-40B4-BE49-F238E27FC236}">
              <a16:creationId xmlns:a16="http://schemas.microsoft.com/office/drawing/2014/main" id="{E8333654-925F-475D-8016-0E2C0990E97E}"/>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1" name="Text 13328">
          <a:extLst>
            <a:ext uri="{FF2B5EF4-FFF2-40B4-BE49-F238E27FC236}">
              <a16:creationId xmlns:a16="http://schemas.microsoft.com/office/drawing/2014/main" id="{22394624-F855-4E73-8517-102D1C36CE1F}"/>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2" name="Text 13329">
          <a:extLst>
            <a:ext uri="{FF2B5EF4-FFF2-40B4-BE49-F238E27FC236}">
              <a16:creationId xmlns:a16="http://schemas.microsoft.com/office/drawing/2014/main" id="{F73C4287-76A1-4BF8-9F6F-3CE289C498D6}"/>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3" name="Text 13330">
          <a:extLst>
            <a:ext uri="{FF2B5EF4-FFF2-40B4-BE49-F238E27FC236}">
              <a16:creationId xmlns:a16="http://schemas.microsoft.com/office/drawing/2014/main" id="{C11BF3FD-A55F-42AF-A4FA-237243AC601F}"/>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4" name="Text 13331">
          <a:extLst>
            <a:ext uri="{FF2B5EF4-FFF2-40B4-BE49-F238E27FC236}">
              <a16:creationId xmlns:a16="http://schemas.microsoft.com/office/drawing/2014/main" id="{59DA279E-9B98-491D-87F9-A08F6EE6C97D}"/>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105</xdr:row>
      <xdr:rowOff>0</xdr:rowOff>
    </xdr:from>
    <xdr:to>
      <xdr:col>2</xdr:col>
      <xdr:colOff>2019300</xdr:colOff>
      <xdr:row>107</xdr:row>
      <xdr:rowOff>396931</xdr:rowOff>
    </xdr:to>
    <xdr:sp macro="" textlink="">
      <xdr:nvSpPr>
        <xdr:cNvPr id="165" name="Text 13332">
          <a:extLst>
            <a:ext uri="{FF2B5EF4-FFF2-40B4-BE49-F238E27FC236}">
              <a16:creationId xmlns:a16="http://schemas.microsoft.com/office/drawing/2014/main" id="{6206B538-667F-46F2-9D0A-7BC50BE8E1B1}"/>
            </a:ext>
          </a:extLst>
        </xdr:cNvPr>
        <xdr:cNvSpPr txBox="1">
          <a:spLocks noChangeArrowheads="1"/>
        </xdr:cNvSpPr>
      </xdr:nvSpPr>
      <xdr:spPr bwMode="auto">
        <a:xfrm>
          <a:off x="2781300" y="20802600"/>
          <a:ext cx="0" cy="844606"/>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66" name="Text 13315">
          <a:extLst>
            <a:ext uri="{FF2B5EF4-FFF2-40B4-BE49-F238E27FC236}">
              <a16:creationId xmlns:a16="http://schemas.microsoft.com/office/drawing/2014/main" id="{AD10BD69-D31B-4DF6-B30B-A62F2A7EAD19}"/>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67" name="Text 13316">
          <a:extLst>
            <a:ext uri="{FF2B5EF4-FFF2-40B4-BE49-F238E27FC236}">
              <a16:creationId xmlns:a16="http://schemas.microsoft.com/office/drawing/2014/main" id="{D6D84FE3-570B-4E17-84C3-EF48A94FF4FB}"/>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68" name="Text 13317">
          <a:extLst>
            <a:ext uri="{FF2B5EF4-FFF2-40B4-BE49-F238E27FC236}">
              <a16:creationId xmlns:a16="http://schemas.microsoft.com/office/drawing/2014/main" id="{4C662514-A3D8-463C-AAD9-30CC9EE3E4B1}"/>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69" name="Text 13318">
          <a:extLst>
            <a:ext uri="{FF2B5EF4-FFF2-40B4-BE49-F238E27FC236}">
              <a16:creationId xmlns:a16="http://schemas.microsoft.com/office/drawing/2014/main" id="{D411AB9B-E04B-4995-82C3-FD314EAF6426}"/>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0" name="Text 13319">
          <a:extLst>
            <a:ext uri="{FF2B5EF4-FFF2-40B4-BE49-F238E27FC236}">
              <a16:creationId xmlns:a16="http://schemas.microsoft.com/office/drawing/2014/main" id="{E267D530-494B-4276-856D-37D66AE3BDA5}"/>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1" name="Text 13320">
          <a:extLst>
            <a:ext uri="{FF2B5EF4-FFF2-40B4-BE49-F238E27FC236}">
              <a16:creationId xmlns:a16="http://schemas.microsoft.com/office/drawing/2014/main" id="{9783AEAE-A36E-4A87-8E6A-4ED7D4C28B34}"/>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2" name="Text 13321">
          <a:extLst>
            <a:ext uri="{FF2B5EF4-FFF2-40B4-BE49-F238E27FC236}">
              <a16:creationId xmlns:a16="http://schemas.microsoft.com/office/drawing/2014/main" id="{84352355-7B22-4B9F-BF29-F37A19665ABA}"/>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3" name="Text 13322">
          <a:extLst>
            <a:ext uri="{FF2B5EF4-FFF2-40B4-BE49-F238E27FC236}">
              <a16:creationId xmlns:a16="http://schemas.microsoft.com/office/drawing/2014/main" id="{27CB1917-CB03-474E-A481-5B3020C0BD31}"/>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4" name="Text 13323">
          <a:extLst>
            <a:ext uri="{FF2B5EF4-FFF2-40B4-BE49-F238E27FC236}">
              <a16:creationId xmlns:a16="http://schemas.microsoft.com/office/drawing/2014/main" id="{AA223910-6D0E-40E1-9BF0-4AC980395E07}"/>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5" name="Text 13324">
          <a:extLst>
            <a:ext uri="{FF2B5EF4-FFF2-40B4-BE49-F238E27FC236}">
              <a16:creationId xmlns:a16="http://schemas.microsoft.com/office/drawing/2014/main" id="{C98716F1-163A-449A-8A1E-263759FCD978}"/>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6" name="Text 13325">
          <a:extLst>
            <a:ext uri="{FF2B5EF4-FFF2-40B4-BE49-F238E27FC236}">
              <a16:creationId xmlns:a16="http://schemas.microsoft.com/office/drawing/2014/main" id="{F5C93E38-7519-452E-B11E-30F871099926}"/>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7" name="Text 13326">
          <a:extLst>
            <a:ext uri="{FF2B5EF4-FFF2-40B4-BE49-F238E27FC236}">
              <a16:creationId xmlns:a16="http://schemas.microsoft.com/office/drawing/2014/main" id="{F9EF7513-1ECA-4DA5-8DFB-7675587F81BE}"/>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8" name="Text 13327">
          <a:extLst>
            <a:ext uri="{FF2B5EF4-FFF2-40B4-BE49-F238E27FC236}">
              <a16:creationId xmlns:a16="http://schemas.microsoft.com/office/drawing/2014/main" id="{499E5641-7275-41E9-B9C1-2DBF25731C78}"/>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79" name="Text 13328">
          <a:extLst>
            <a:ext uri="{FF2B5EF4-FFF2-40B4-BE49-F238E27FC236}">
              <a16:creationId xmlns:a16="http://schemas.microsoft.com/office/drawing/2014/main" id="{DDCF90B6-7394-4864-9316-888436049B10}"/>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80" name="Text 13329">
          <a:extLst>
            <a:ext uri="{FF2B5EF4-FFF2-40B4-BE49-F238E27FC236}">
              <a16:creationId xmlns:a16="http://schemas.microsoft.com/office/drawing/2014/main" id="{5637EE68-22A5-44B7-B0B0-F4CCA9B9C1FE}"/>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81" name="Text 13330">
          <a:extLst>
            <a:ext uri="{FF2B5EF4-FFF2-40B4-BE49-F238E27FC236}">
              <a16:creationId xmlns:a16="http://schemas.microsoft.com/office/drawing/2014/main" id="{1552CBDA-4817-474B-9660-958C02A425D4}"/>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82" name="Text 13331">
          <a:extLst>
            <a:ext uri="{FF2B5EF4-FFF2-40B4-BE49-F238E27FC236}">
              <a16:creationId xmlns:a16="http://schemas.microsoft.com/office/drawing/2014/main" id="{5BEBBCEC-D6B7-446A-914A-EBF796264B9A}"/>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236</xdr:row>
      <xdr:rowOff>0</xdr:rowOff>
    </xdr:from>
    <xdr:to>
      <xdr:col>2</xdr:col>
      <xdr:colOff>2019300</xdr:colOff>
      <xdr:row>236</xdr:row>
      <xdr:rowOff>209550</xdr:rowOff>
    </xdr:to>
    <xdr:sp macro="" textlink="">
      <xdr:nvSpPr>
        <xdr:cNvPr id="183" name="Text 13332">
          <a:extLst>
            <a:ext uri="{FF2B5EF4-FFF2-40B4-BE49-F238E27FC236}">
              <a16:creationId xmlns:a16="http://schemas.microsoft.com/office/drawing/2014/main" id="{2309B98C-E2E3-46C4-855A-D1DA18AA0372}"/>
            </a:ext>
          </a:extLst>
        </xdr:cNvPr>
        <xdr:cNvSpPr txBox="1">
          <a:spLocks noChangeArrowheads="1"/>
        </xdr:cNvSpPr>
      </xdr:nvSpPr>
      <xdr:spPr bwMode="auto">
        <a:xfrm>
          <a:off x="2781300" y="55321200"/>
          <a:ext cx="0" cy="209550"/>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4" name="Text Box 679">
          <a:extLst>
            <a:ext uri="{FF2B5EF4-FFF2-40B4-BE49-F238E27FC236}">
              <a16:creationId xmlns:a16="http://schemas.microsoft.com/office/drawing/2014/main" id="{42884AE0-1339-45EE-92F4-1E60B5ED65FE}"/>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5" name="Text Box 680">
          <a:extLst>
            <a:ext uri="{FF2B5EF4-FFF2-40B4-BE49-F238E27FC236}">
              <a16:creationId xmlns:a16="http://schemas.microsoft.com/office/drawing/2014/main" id="{097D704A-113B-456B-AF07-9E8FC8154788}"/>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6" name="Text Box 681">
          <a:extLst>
            <a:ext uri="{FF2B5EF4-FFF2-40B4-BE49-F238E27FC236}">
              <a16:creationId xmlns:a16="http://schemas.microsoft.com/office/drawing/2014/main" id="{3C0FC369-58BC-41FD-A352-C00AC4C35DA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7" name="Text Box 682">
          <a:extLst>
            <a:ext uri="{FF2B5EF4-FFF2-40B4-BE49-F238E27FC236}">
              <a16:creationId xmlns:a16="http://schemas.microsoft.com/office/drawing/2014/main" id="{5AB969AF-0004-48A5-AFCB-2E31AFF7507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8" name="Text Box 683">
          <a:extLst>
            <a:ext uri="{FF2B5EF4-FFF2-40B4-BE49-F238E27FC236}">
              <a16:creationId xmlns:a16="http://schemas.microsoft.com/office/drawing/2014/main" id="{2D9D9712-AE0D-4A69-9DE5-EEACE2323360}"/>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89" name="Text Box 684">
          <a:extLst>
            <a:ext uri="{FF2B5EF4-FFF2-40B4-BE49-F238E27FC236}">
              <a16:creationId xmlns:a16="http://schemas.microsoft.com/office/drawing/2014/main" id="{C3859A80-BCCE-4224-AD2E-50C3F9D85093}"/>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0" name="Text Box 685">
          <a:extLst>
            <a:ext uri="{FF2B5EF4-FFF2-40B4-BE49-F238E27FC236}">
              <a16:creationId xmlns:a16="http://schemas.microsoft.com/office/drawing/2014/main" id="{046C8EBA-368A-4822-A21B-20D199C3FC52}"/>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1" name="Text Box 686">
          <a:extLst>
            <a:ext uri="{FF2B5EF4-FFF2-40B4-BE49-F238E27FC236}">
              <a16:creationId xmlns:a16="http://schemas.microsoft.com/office/drawing/2014/main" id="{611D7F5F-8707-4073-9C87-E3ABBA0A07C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2" name="Text Box 687">
          <a:extLst>
            <a:ext uri="{FF2B5EF4-FFF2-40B4-BE49-F238E27FC236}">
              <a16:creationId xmlns:a16="http://schemas.microsoft.com/office/drawing/2014/main" id="{13C14521-B026-4451-9E53-C2F08A5595D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3" name="Text Box 688">
          <a:extLst>
            <a:ext uri="{FF2B5EF4-FFF2-40B4-BE49-F238E27FC236}">
              <a16:creationId xmlns:a16="http://schemas.microsoft.com/office/drawing/2014/main" id="{2B78C813-584B-45BA-913F-26FD181BA6F3}"/>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4" name="Text Box 689">
          <a:extLst>
            <a:ext uri="{FF2B5EF4-FFF2-40B4-BE49-F238E27FC236}">
              <a16:creationId xmlns:a16="http://schemas.microsoft.com/office/drawing/2014/main" id="{71D1B925-3C85-4BC6-8108-CB435930AD38}"/>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5" name="Text Box 690">
          <a:extLst>
            <a:ext uri="{FF2B5EF4-FFF2-40B4-BE49-F238E27FC236}">
              <a16:creationId xmlns:a16="http://schemas.microsoft.com/office/drawing/2014/main" id="{4475FDC9-DB0F-4E53-9B77-2520048974BE}"/>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6" name="Text Box 691">
          <a:extLst>
            <a:ext uri="{FF2B5EF4-FFF2-40B4-BE49-F238E27FC236}">
              <a16:creationId xmlns:a16="http://schemas.microsoft.com/office/drawing/2014/main" id="{31AABACB-41A9-4EF0-A34B-E853329AE8F9}"/>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7" name="Text Box 692">
          <a:extLst>
            <a:ext uri="{FF2B5EF4-FFF2-40B4-BE49-F238E27FC236}">
              <a16:creationId xmlns:a16="http://schemas.microsoft.com/office/drawing/2014/main" id="{F5292AC4-4D90-4DF2-A609-6CD34DCAA87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8" name="Text Box 693">
          <a:extLst>
            <a:ext uri="{FF2B5EF4-FFF2-40B4-BE49-F238E27FC236}">
              <a16:creationId xmlns:a16="http://schemas.microsoft.com/office/drawing/2014/main" id="{2093E520-4868-441B-8047-44D2D6F86D5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199" name="Text Box 694">
          <a:extLst>
            <a:ext uri="{FF2B5EF4-FFF2-40B4-BE49-F238E27FC236}">
              <a16:creationId xmlns:a16="http://schemas.microsoft.com/office/drawing/2014/main" id="{B1E6490F-6EFE-454B-869E-9505564E4DF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00" name="Text Box 695">
          <a:extLst>
            <a:ext uri="{FF2B5EF4-FFF2-40B4-BE49-F238E27FC236}">
              <a16:creationId xmlns:a16="http://schemas.microsoft.com/office/drawing/2014/main" id="{58B0AD50-30F3-4A72-9A6E-2544B2AB02F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01" name="Text Box 696">
          <a:extLst>
            <a:ext uri="{FF2B5EF4-FFF2-40B4-BE49-F238E27FC236}">
              <a16:creationId xmlns:a16="http://schemas.microsoft.com/office/drawing/2014/main" id="{A4D3DA86-53D6-4ADB-AFD1-1A2650AB1336}"/>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2" name="Text Box 697">
          <a:extLst>
            <a:ext uri="{FF2B5EF4-FFF2-40B4-BE49-F238E27FC236}">
              <a16:creationId xmlns:a16="http://schemas.microsoft.com/office/drawing/2014/main" id="{F72AE971-4367-4CF9-8CD6-882391C13CD9}"/>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3" name="Text Box 698">
          <a:extLst>
            <a:ext uri="{FF2B5EF4-FFF2-40B4-BE49-F238E27FC236}">
              <a16:creationId xmlns:a16="http://schemas.microsoft.com/office/drawing/2014/main" id="{32E46D28-5EE3-4F75-B897-77D02A5D20F0}"/>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4" name="Text Box 699">
          <a:extLst>
            <a:ext uri="{FF2B5EF4-FFF2-40B4-BE49-F238E27FC236}">
              <a16:creationId xmlns:a16="http://schemas.microsoft.com/office/drawing/2014/main" id="{69A99FE9-637C-47B4-AB53-B2A67AB94A9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5" name="Text Box 700">
          <a:extLst>
            <a:ext uri="{FF2B5EF4-FFF2-40B4-BE49-F238E27FC236}">
              <a16:creationId xmlns:a16="http://schemas.microsoft.com/office/drawing/2014/main" id="{5128D869-4507-4DCB-A1B9-86143479916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6" name="Text Box 701">
          <a:extLst>
            <a:ext uri="{FF2B5EF4-FFF2-40B4-BE49-F238E27FC236}">
              <a16:creationId xmlns:a16="http://schemas.microsoft.com/office/drawing/2014/main" id="{8768EB92-7F08-47E0-94ED-BCCBAE0D58A4}"/>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7" name="Text Box 702">
          <a:extLst>
            <a:ext uri="{FF2B5EF4-FFF2-40B4-BE49-F238E27FC236}">
              <a16:creationId xmlns:a16="http://schemas.microsoft.com/office/drawing/2014/main" id="{465AB0AE-562F-4018-B128-152CA5F44E89}"/>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8" name="Text Box 703">
          <a:extLst>
            <a:ext uri="{FF2B5EF4-FFF2-40B4-BE49-F238E27FC236}">
              <a16:creationId xmlns:a16="http://schemas.microsoft.com/office/drawing/2014/main" id="{5A6C9DC3-7842-40F5-AFDE-0864217287E3}"/>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09" name="Text Box 704">
          <a:extLst>
            <a:ext uri="{FF2B5EF4-FFF2-40B4-BE49-F238E27FC236}">
              <a16:creationId xmlns:a16="http://schemas.microsoft.com/office/drawing/2014/main" id="{D850CD1C-5A1D-4EAD-9D5F-6BB8687009E9}"/>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0" name="Text Box 705">
          <a:extLst>
            <a:ext uri="{FF2B5EF4-FFF2-40B4-BE49-F238E27FC236}">
              <a16:creationId xmlns:a16="http://schemas.microsoft.com/office/drawing/2014/main" id="{1827C5DA-BCDC-4AEF-94F1-B67B2AAE32E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1" name="Text Box 706">
          <a:extLst>
            <a:ext uri="{FF2B5EF4-FFF2-40B4-BE49-F238E27FC236}">
              <a16:creationId xmlns:a16="http://schemas.microsoft.com/office/drawing/2014/main" id="{00C232C8-7129-481D-A5F8-C4B09B559B38}"/>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2" name="Text Box 707">
          <a:extLst>
            <a:ext uri="{FF2B5EF4-FFF2-40B4-BE49-F238E27FC236}">
              <a16:creationId xmlns:a16="http://schemas.microsoft.com/office/drawing/2014/main" id="{E80A43FF-A372-45AD-8B0E-D26DECA42AB7}"/>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3" name="Text Box 708">
          <a:extLst>
            <a:ext uri="{FF2B5EF4-FFF2-40B4-BE49-F238E27FC236}">
              <a16:creationId xmlns:a16="http://schemas.microsoft.com/office/drawing/2014/main" id="{D0A2EDAD-E744-4416-B4C8-2C8CBF6DD4B3}"/>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4" name="Text Box 709">
          <a:extLst>
            <a:ext uri="{FF2B5EF4-FFF2-40B4-BE49-F238E27FC236}">
              <a16:creationId xmlns:a16="http://schemas.microsoft.com/office/drawing/2014/main" id="{9C38CE08-31A6-419C-B3AC-33419126203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5" name="Text Box 710">
          <a:extLst>
            <a:ext uri="{FF2B5EF4-FFF2-40B4-BE49-F238E27FC236}">
              <a16:creationId xmlns:a16="http://schemas.microsoft.com/office/drawing/2014/main" id="{32519AF9-F6D3-4BC6-BB07-03CA8FC9D5E1}"/>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6" name="Text Box 711">
          <a:extLst>
            <a:ext uri="{FF2B5EF4-FFF2-40B4-BE49-F238E27FC236}">
              <a16:creationId xmlns:a16="http://schemas.microsoft.com/office/drawing/2014/main" id="{46AF85BD-9DA4-4C3A-8B61-8E183EDC680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7" name="Text Box 712">
          <a:extLst>
            <a:ext uri="{FF2B5EF4-FFF2-40B4-BE49-F238E27FC236}">
              <a16:creationId xmlns:a16="http://schemas.microsoft.com/office/drawing/2014/main" id="{E5E0398A-E259-41F3-8584-5EA094D42924}"/>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8" name="Text Box 713">
          <a:extLst>
            <a:ext uri="{FF2B5EF4-FFF2-40B4-BE49-F238E27FC236}">
              <a16:creationId xmlns:a16="http://schemas.microsoft.com/office/drawing/2014/main" id="{FF17C464-B760-461F-B4D3-F8D4ADD261B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19" name="Text Box 714">
          <a:extLst>
            <a:ext uri="{FF2B5EF4-FFF2-40B4-BE49-F238E27FC236}">
              <a16:creationId xmlns:a16="http://schemas.microsoft.com/office/drawing/2014/main" id="{E80A846E-F314-4E08-9C3D-33F4195BD1F9}"/>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0" name="Text Box 715">
          <a:extLst>
            <a:ext uri="{FF2B5EF4-FFF2-40B4-BE49-F238E27FC236}">
              <a16:creationId xmlns:a16="http://schemas.microsoft.com/office/drawing/2014/main" id="{7EF2D835-D02A-49E9-A29A-77C8C3BE3B8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1" name="Text Box 716">
          <a:extLst>
            <a:ext uri="{FF2B5EF4-FFF2-40B4-BE49-F238E27FC236}">
              <a16:creationId xmlns:a16="http://schemas.microsoft.com/office/drawing/2014/main" id="{173823EA-7DAE-4D60-9111-CFA03B2D407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2" name="Text Box 717">
          <a:extLst>
            <a:ext uri="{FF2B5EF4-FFF2-40B4-BE49-F238E27FC236}">
              <a16:creationId xmlns:a16="http://schemas.microsoft.com/office/drawing/2014/main" id="{F5EE3FAC-1DA8-4E0C-A3CF-D6AB01A63DE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3" name="Text Box 718">
          <a:extLst>
            <a:ext uri="{FF2B5EF4-FFF2-40B4-BE49-F238E27FC236}">
              <a16:creationId xmlns:a16="http://schemas.microsoft.com/office/drawing/2014/main" id="{D45FCDE4-4C26-4439-B44A-EDBE59A4AC9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4" name="Text Box 719">
          <a:extLst>
            <a:ext uri="{FF2B5EF4-FFF2-40B4-BE49-F238E27FC236}">
              <a16:creationId xmlns:a16="http://schemas.microsoft.com/office/drawing/2014/main" id="{8E78C666-9A87-4091-9F43-BEF880510E0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5" name="Text Box 720">
          <a:extLst>
            <a:ext uri="{FF2B5EF4-FFF2-40B4-BE49-F238E27FC236}">
              <a16:creationId xmlns:a16="http://schemas.microsoft.com/office/drawing/2014/main" id="{774B4BCF-E612-48D8-9480-530DA7689594}"/>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6" name="Text Box 721">
          <a:extLst>
            <a:ext uri="{FF2B5EF4-FFF2-40B4-BE49-F238E27FC236}">
              <a16:creationId xmlns:a16="http://schemas.microsoft.com/office/drawing/2014/main" id="{99FD0B7B-B837-4516-B72E-6412B6EB0634}"/>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7" name="Text Box 722">
          <a:extLst>
            <a:ext uri="{FF2B5EF4-FFF2-40B4-BE49-F238E27FC236}">
              <a16:creationId xmlns:a16="http://schemas.microsoft.com/office/drawing/2014/main" id="{A2B2EA32-4A5C-4A3D-89BB-A0EF2F75DD5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8" name="Text Box 723">
          <a:extLst>
            <a:ext uri="{FF2B5EF4-FFF2-40B4-BE49-F238E27FC236}">
              <a16:creationId xmlns:a16="http://schemas.microsoft.com/office/drawing/2014/main" id="{2A622DFF-FFC9-40B2-A563-01E50D0C182E}"/>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29" name="Text Box 724">
          <a:extLst>
            <a:ext uri="{FF2B5EF4-FFF2-40B4-BE49-F238E27FC236}">
              <a16:creationId xmlns:a16="http://schemas.microsoft.com/office/drawing/2014/main" id="{A7DFD5F5-03A1-420E-81CB-55346E131288}"/>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0" name="Text Box 725">
          <a:extLst>
            <a:ext uri="{FF2B5EF4-FFF2-40B4-BE49-F238E27FC236}">
              <a16:creationId xmlns:a16="http://schemas.microsoft.com/office/drawing/2014/main" id="{30F3AE0C-FC36-465D-9C19-3B79B8DA9167}"/>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1" name="Text Box 726">
          <a:extLst>
            <a:ext uri="{FF2B5EF4-FFF2-40B4-BE49-F238E27FC236}">
              <a16:creationId xmlns:a16="http://schemas.microsoft.com/office/drawing/2014/main" id="{5E8A06DA-444A-4C84-9D85-2DE42593CBC6}"/>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2" name="Text Box 727">
          <a:extLst>
            <a:ext uri="{FF2B5EF4-FFF2-40B4-BE49-F238E27FC236}">
              <a16:creationId xmlns:a16="http://schemas.microsoft.com/office/drawing/2014/main" id="{CDC25D16-2228-45C4-9576-2D8355389DB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3" name="Text Box 728">
          <a:extLst>
            <a:ext uri="{FF2B5EF4-FFF2-40B4-BE49-F238E27FC236}">
              <a16:creationId xmlns:a16="http://schemas.microsoft.com/office/drawing/2014/main" id="{02CD1BDC-726F-4FD3-AC70-E0701D1EE919}"/>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4" name="Text Box 729">
          <a:extLst>
            <a:ext uri="{FF2B5EF4-FFF2-40B4-BE49-F238E27FC236}">
              <a16:creationId xmlns:a16="http://schemas.microsoft.com/office/drawing/2014/main" id="{D90061C2-C076-4B6B-B2E3-80A5F3204766}"/>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5" name="Text Box 730">
          <a:extLst>
            <a:ext uri="{FF2B5EF4-FFF2-40B4-BE49-F238E27FC236}">
              <a16:creationId xmlns:a16="http://schemas.microsoft.com/office/drawing/2014/main" id="{7287B1A2-A2E2-4D3A-905C-AC2D6F7B38D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6" name="Text Box 731">
          <a:extLst>
            <a:ext uri="{FF2B5EF4-FFF2-40B4-BE49-F238E27FC236}">
              <a16:creationId xmlns:a16="http://schemas.microsoft.com/office/drawing/2014/main" id="{C3A447E9-E719-40F1-BA98-454D77F2C2F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37" name="Text Box 732">
          <a:extLst>
            <a:ext uri="{FF2B5EF4-FFF2-40B4-BE49-F238E27FC236}">
              <a16:creationId xmlns:a16="http://schemas.microsoft.com/office/drawing/2014/main" id="{767B3811-829A-4882-8CBC-168010922CF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38" name="Text Box 733">
          <a:extLst>
            <a:ext uri="{FF2B5EF4-FFF2-40B4-BE49-F238E27FC236}">
              <a16:creationId xmlns:a16="http://schemas.microsoft.com/office/drawing/2014/main" id="{D2260B6D-3D43-4549-97BB-FEB9620C690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39" name="Text Box 734">
          <a:extLst>
            <a:ext uri="{FF2B5EF4-FFF2-40B4-BE49-F238E27FC236}">
              <a16:creationId xmlns:a16="http://schemas.microsoft.com/office/drawing/2014/main" id="{28A57E03-C998-46D1-8F83-F4F8EEEE83F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0" name="Text Box 735">
          <a:extLst>
            <a:ext uri="{FF2B5EF4-FFF2-40B4-BE49-F238E27FC236}">
              <a16:creationId xmlns:a16="http://schemas.microsoft.com/office/drawing/2014/main" id="{D1BBCFD5-17B1-4DC0-835F-CB6216F50AE9}"/>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1" name="Text Box 736">
          <a:extLst>
            <a:ext uri="{FF2B5EF4-FFF2-40B4-BE49-F238E27FC236}">
              <a16:creationId xmlns:a16="http://schemas.microsoft.com/office/drawing/2014/main" id="{511D6203-B5BD-465A-B96B-C39D34C74B58}"/>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2" name="Text Box 737">
          <a:extLst>
            <a:ext uri="{FF2B5EF4-FFF2-40B4-BE49-F238E27FC236}">
              <a16:creationId xmlns:a16="http://schemas.microsoft.com/office/drawing/2014/main" id="{3801AB92-7FAE-41D3-9C32-FE98DFDC594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3" name="Text Box 738">
          <a:extLst>
            <a:ext uri="{FF2B5EF4-FFF2-40B4-BE49-F238E27FC236}">
              <a16:creationId xmlns:a16="http://schemas.microsoft.com/office/drawing/2014/main" id="{EA185A83-59EA-4B1A-9EA0-C2E698746B4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4" name="Text Box 739">
          <a:extLst>
            <a:ext uri="{FF2B5EF4-FFF2-40B4-BE49-F238E27FC236}">
              <a16:creationId xmlns:a16="http://schemas.microsoft.com/office/drawing/2014/main" id="{B0B94580-FDB7-45E2-9538-B67CBC01A42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5" name="Text Box 740">
          <a:extLst>
            <a:ext uri="{FF2B5EF4-FFF2-40B4-BE49-F238E27FC236}">
              <a16:creationId xmlns:a16="http://schemas.microsoft.com/office/drawing/2014/main" id="{65D91E73-DBBE-4CE9-B8A8-A92076F3EE80}"/>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6" name="Text Box 741">
          <a:extLst>
            <a:ext uri="{FF2B5EF4-FFF2-40B4-BE49-F238E27FC236}">
              <a16:creationId xmlns:a16="http://schemas.microsoft.com/office/drawing/2014/main" id="{E7E87B03-C6D8-4764-A82F-ABBA7FCD38E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7" name="Text Box 742">
          <a:extLst>
            <a:ext uri="{FF2B5EF4-FFF2-40B4-BE49-F238E27FC236}">
              <a16:creationId xmlns:a16="http://schemas.microsoft.com/office/drawing/2014/main" id="{C5737EDE-C3F4-4B2D-A44F-BFE1D7F3286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8" name="Text Box 743">
          <a:extLst>
            <a:ext uri="{FF2B5EF4-FFF2-40B4-BE49-F238E27FC236}">
              <a16:creationId xmlns:a16="http://schemas.microsoft.com/office/drawing/2014/main" id="{8BBE66CF-1A91-44E2-B713-B467370EDB1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49" name="Text Box 744">
          <a:extLst>
            <a:ext uri="{FF2B5EF4-FFF2-40B4-BE49-F238E27FC236}">
              <a16:creationId xmlns:a16="http://schemas.microsoft.com/office/drawing/2014/main" id="{A9858887-972A-4F9D-B911-6E37E167D88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0" name="Text Box 745">
          <a:extLst>
            <a:ext uri="{FF2B5EF4-FFF2-40B4-BE49-F238E27FC236}">
              <a16:creationId xmlns:a16="http://schemas.microsoft.com/office/drawing/2014/main" id="{0D82685A-E629-4401-8A29-1765C250EA9D}"/>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1" name="Text Box 746">
          <a:extLst>
            <a:ext uri="{FF2B5EF4-FFF2-40B4-BE49-F238E27FC236}">
              <a16:creationId xmlns:a16="http://schemas.microsoft.com/office/drawing/2014/main" id="{B4890595-509B-4366-B6E4-B54E2ECDCB1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2" name="Text Box 747">
          <a:extLst>
            <a:ext uri="{FF2B5EF4-FFF2-40B4-BE49-F238E27FC236}">
              <a16:creationId xmlns:a16="http://schemas.microsoft.com/office/drawing/2014/main" id="{3D90EC87-54C2-4DD5-A399-A592009FC749}"/>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3" name="Text Box 748">
          <a:extLst>
            <a:ext uri="{FF2B5EF4-FFF2-40B4-BE49-F238E27FC236}">
              <a16:creationId xmlns:a16="http://schemas.microsoft.com/office/drawing/2014/main" id="{38B0E9AC-B86F-443F-94B3-BAD1384AB58E}"/>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4" name="Text Box 749">
          <a:extLst>
            <a:ext uri="{FF2B5EF4-FFF2-40B4-BE49-F238E27FC236}">
              <a16:creationId xmlns:a16="http://schemas.microsoft.com/office/drawing/2014/main" id="{DEB3FD07-CBEC-424E-8C73-FA88BE55E6D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55" name="Text Box 750">
          <a:extLst>
            <a:ext uri="{FF2B5EF4-FFF2-40B4-BE49-F238E27FC236}">
              <a16:creationId xmlns:a16="http://schemas.microsoft.com/office/drawing/2014/main" id="{C8369FFA-A1A2-419A-8595-6C7F7EEBF656}"/>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56" name="Text Box 751">
          <a:extLst>
            <a:ext uri="{FF2B5EF4-FFF2-40B4-BE49-F238E27FC236}">
              <a16:creationId xmlns:a16="http://schemas.microsoft.com/office/drawing/2014/main" id="{313D3A14-F37F-40AB-BF3D-7451B40238B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57" name="Text Box 752">
          <a:extLst>
            <a:ext uri="{FF2B5EF4-FFF2-40B4-BE49-F238E27FC236}">
              <a16:creationId xmlns:a16="http://schemas.microsoft.com/office/drawing/2014/main" id="{63A77616-121B-483E-B298-1B17FDED5A3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58" name="Text Box 753">
          <a:extLst>
            <a:ext uri="{FF2B5EF4-FFF2-40B4-BE49-F238E27FC236}">
              <a16:creationId xmlns:a16="http://schemas.microsoft.com/office/drawing/2014/main" id="{6BC3D06B-8320-462C-8DCD-9B9BA760194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59" name="Text Box 754">
          <a:extLst>
            <a:ext uri="{FF2B5EF4-FFF2-40B4-BE49-F238E27FC236}">
              <a16:creationId xmlns:a16="http://schemas.microsoft.com/office/drawing/2014/main" id="{650955A2-8372-44B5-977A-050260E65680}"/>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0" name="Text Box 755">
          <a:extLst>
            <a:ext uri="{FF2B5EF4-FFF2-40B4-BE49-F238E27FC236}">
              <a16:creationId xmlns:a16="http://schemas.microsoft.com/office/drawing/2014/main" id="{016753BE-556B-4D32-9EB1-F2F9AB257127}"/>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1" name="Text Box 756">
          <a:extLst>
            <a:ext uri="{FF2B5EF4-FFF2-40B4-BE49-F238E27FC236}">
              <a16:creationId xmlns:a16="http://schemas.microsoft.com/office/drawing/2014/main" id="{04A23EDE-145B-4C89-8E29-3427D25908FB}"/>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2" name="Text Box 757">
          <a:extLst>
            <a:ext uri="{FF2B5EF4-FFF2-40B4-BE49-F238E27FC236}">
              <a16:creationId xmlns:a16="http://schemas.microsoft.com/office/drawing/2014/main" id="{D41DC3F5-1459-41B5-B40C-6A9885C36F5C}"/>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3" name="Text Box 758">
          <a:extLst>
            <a:ext uri="{FF2B5EF4-FFF2-40B4-BE49-F238E27FC236}">
              <a16:creationId xmlns:a16="http://schemas.microsoft.com/office/drawing/2014/main" id="{56E2F2D8-9FCD-410C-B0CB-64528592EFDB}"/>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4" name="Text Box 759">
          <a:extLst>
            <a:ext uri="{FF2B5EF4-FFF2-40B4-BE49-F238E27FC236}">
              <a16:creationId xmlns:a16="http://schemas.microsoft.com/office/drawing/2014/main" id="{898A67FF-5ED5-4AB1-9ACC-C0C297C404F3}"/>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5" name="Text Box 760">
          <a:extLst>
            <a:ext uri="{FF2B5EF4-FFF2-40B4-BE49-F238E27FC236}">
              <a16:creationId xmlns:a16="http://schemas.microsoft.com/office/drawing/2014/main" id="{19100654-92E6-498F-9F56-DBBA2C1C55C8}"/>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6" name="Text Box 761">
          <a:extLst>
            <a:ext uri="{FF2B5EF4-FFF2-40B4-BE49-F238E27FC236}">
              <a16:creationId xmlns:a16="http://schemas.microsoft.com/office/drawing/2014/main" id="{4D37544F-F069-482F-ABCD-F6D1D78705C1}"/>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7" name="Text Box 762">
          <a:extLst>
            <a:ext uri="{FF2B5EF4-FFF2-40B4-BE49-F238E27FC236}">
              <a16:creationId xmlns:a16="http://schemas.microsoft.com/office/drawing/2014/main" id="{3967635F-B525-41B0-8379-0547DA7D3BC0}"/>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8" name="Text Box 763">
          <a:extLst>
            <a:ext uri="{FF2B5EF4-FFF2-40B4-BE49-F238E27FC236}">
              <a16:creationId xmlns:a16="http://schemas.microsoft.com/office/drawing/2014/main" id="{2B83B8E0-EA90-4A60-A13D-131C7BC97FA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69" name="Text Box 764">
          <a:extLst>
            <a:ext uri="{FF2B5EF4-FFF2-40B4-BE49-F238E27FC236}">
              <a16:creationId xmlns:a16="http://schemas.microsoft.com/office/drawing/2014/main" id="{17F787EE-6575-4CF9-88FE-D2964D38D5FB}"/>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0" name="Text Box 765">
          <a:extLst>
            <a:ext uri="{FF2B5EF4-FFF2-40B4-BE49-F238E27FC236}">
              <a16:creationId xmlns:a16="http://schemas.microsoft.com/office/drawing/2014/main" id="{173361AA-41B1-4381-B0F0-6761F0408790}"/>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1" name="Text Box 766">
          <a:extLst>
            <a:ext uri="{FF2B5EF4-FFF2-40B4-BE49-F238E27FC236}">
              <a16:creationId xmlns:a16="http://schemas.microsoft.com/office/drawing/2014/main" id="{F8A22408-ED16-482C-89A9-2FBE875A650F}"/>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2" name="Text Box 767">
          <a:extLst>
            <a:ext uri="{FF2B5EF4-FFF2-40B4-BE49-F238E27FC236}">
              <a16:creationId xmlns:a16="http://schemas.microsoft.com/office/drawing/2014/main" id="{4F88DC8A-B49F-4430-A8D4-2BF1683AD62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3" name="Text Box 768">
          <a:extLst>
            <a:ext uri="{FF2B5EF4-FFF2-40B4-BE49-F238E27FC236}">
              <a16:creationId xmlns:a16="http://schemas.microsoft.com/office/drawing/2014/main" id="{0C263C79-50A5-43A5-A0C9-3DD9C714536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4" name="Text Box 769">
          <a:extLst>
            <a:ext uri="{FF2B5EF4-FFF2-40B4-BE49-F238E27FC236}">
              <a16:creationId xmlns:a16="http://schemas.microsoft.com/office/drawing/2014/main" id="{3A78AEB1-B61C-4E37-9024-EFACA2B3997D}"/>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5" name="Text Box 770">
          <a:extLst>
            <a:ext uri="{FF2B5EF4-FFF2-40B4-BE49-F238E27FC236}">
              <a16:creationId xmlns:a16="http://schemas.microsoft.com/office/drawing/2014/main" id="{FC12C342-0AEC-46EA-993C-709ADB7AD76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6" name="Text Box 771">
          <a:extLst>
            <a:ext uri="{FF2B5EF4-FFF2-40B4-BE49-F238E27FC236}">
              <a16:creationId xmlns:a16="http://schemas.microsoft.com/office/drawing/2014/main" id="{0920A069-C405-43AB-BB8F-193E4E805ECB}"/>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7" name="Text Box 772">
          <a:extLst>
            <a:ext uri="{FF2B5EF4-FFF2-40B4-BE49-F238E27FC236}">
              <a16:creationId xmlns:a16="http://schemas.microsoft.com/office/drawing/2014/main" id="{709CB6B1-8274-45CD-A064-4767ECC08A4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8" name="Text Box 773">
          <a:extLst>
            <a:ext uri="{FF2B5EF4-FFF2-40B4-BE49-F238E27FC236}">
              <a16:creationId xmlns:a16="http://schemas.microsoft.com/office/drawing/2014/main" id="{A2AE8867-E63C-4463-9F11-233DA07CFBB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79" name="Text Box 774">
          <a:extLst>
            <a:ext uri="{FF2B5EF4-FFF2-40B4-BE49-F238E27FC236}">
              <a16:creationId xmlns:a16="http://schemas.microsoft.com/office/drawing/2014/main" id="{7B420706-08B4-42F9-BCCD-2B171B133C28}"/>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0" name="Text Box 775">
          <a:extLst>
            <a:ext uri="{FF2B5EF4-FFF2-40B4-BE49-F238E27FC236}">
              <a16:creationId xmlns:a16="http://schemas.microsoft.com/office/drawing/2014/main" id="{D7AE3AC1-49A7-4312-96DC-24D858715A8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1" name="Text Box 776">
          <a:extLst>
            <a:ext uri="{FF2B5EF4-FFF2-40B4-BE49-F238E27FC236}">
              <a16:creationId xmlns:a16="http://schemas.microsoft.com/office/drawing/2014/main" id="{F2A154DA-59CD-42A0-9F01-8E8AA58F105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2" name="Text Box 777">
          <a:extLst>
            <a:ext uri="{FF2B5EF4-FFF2-40B4-BE49-F238E27FC236}">
              <a16:creationId xmlns:a16="http://schemas.microsoft.com/office/drawing/2014/main" id="{2A45FD15-F4EA-458E-AEBD-213959C47950}"/>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3" name="Text Box 778">
          <a:extLst>
            <a:ext uri="{FF2B5EF4-FFF2-40B4-BE49-F238E27FC236}">
              <a16:creationId xmlns:a16="http://schemas.microsoft.com/office/drawing/2014/main" id="{5D3B59AA-53AC-4519-BEE5-B20D8C8DDB5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4" name="Text Box 779">
          <a:extLst>
            <a:ext uri="{FF2B5EF4-FFF2-40B4-BE49-F238E27FC236}">
              <a16:creationId xmlns:a16="http://schemas.microsoft.com/office/drawing/2014/main" id="{062789AB-4821-4632-BABF-9494BBC6A89A}"/>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5" name="Text Box 780">
          <a:extLst>
            <a:ext uri="{FF2B5EF4-FFF2-40B4-BE49-F238E27FC236}">
              <a16:creationId xmlns:a16="http://schemas.microsoft.com/office/drawing/2014/main" id="{315E9BC5-C139-4E7A-BDEF-150D55C53792}"/>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6" name="Text Box 781">
          <a:extLst>
            <a:ext uri="{FF2B5EF4-FFF2-40B4-BE49-F238E27FC236}">
              <a16:creationId xmlns:a16="http://schemas.microsoft.com/office/drawing/2014/main" id="{1B9DD510-5CC3-4613-97DA-A4609CE59A2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7" name="Text Box 782">
          <a:extLst>
            <a:ext uri="{FF2B5EF4-FFF2-40B4-BE49-F238E27FC236}">
              <a16:creationId xmlns:a16="http://schemas.microsoft.com/office/drawing/2014/main" id="{183B7D93-1A1D-4832-BF55-B66146F2F7DB}"/>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8" name="Text Box 783">
          <a:extLst>
            <a:ext uri="{FF2B5EF4-FFF2-40B4-BE49-F238E27FC236}">
              <a16:creationId xmlns:a16="http://schemas.microsoft.com/office/drawing/2014/main" id="{7C359B1B-A8AF-444C-89A3-6E08310B28F5}"/>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89" name="Text Box 784">
          <a:extLst>
            <a:ext uri="{FF2B5EF4-FFF2-40B4-BE49-F238E27FC236}">
              <a16:creationId xmlns:a16="http://schemas.microsoft.com/office/drawing/2014/main" id="{B91D79AE-E6D8-4C95-AF57-3D169994D971}"/>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90" name="Text Box 785">
          <a:extLst>
            <a:ext uri="{FF2B5EF4-FFF2-40B4-BE49-F238E27FC236}">
              <a16:creationId xmlns:a16="http://schemas.microsoft.com/office/drawing/2014/main" id="{F403D2F6-30E0-4B28-BB44-EDCCFB430777}"/>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241</xdr:row>
      <xdr:rowOff>67233</xdr:rowOff>
    </xdr:to>
    <xdr:sp macro="" textlink="">
      <xdr:nvSpPr>
        <xdr:cNvPr id="291" name="Text Box 786">
          <a:extLst>
            <a:ext uri="{FF2B5EF4-FFF2-40B4-BE49-F238E27FC236}">
              <a16:creationId xmlns:a16="http://schemas.microsoft.com/office/drawing/2014/main" id="{A2F7D09B-C9E2-4610-8EDD-9089162F72F1}"/>
            </a:ext>
          </a:extLst>
        </xdr:cNvPr>
        <xdr:cNvSpPr txBox="1">
          <a:spLocks noChangeArrowheads="1"/>
        </xdr:cNvSpPr>
      </xdr:nvSpPr>
      <xdr:spPr bwMode="auto">
        <a:xfrm>
          <a:off x="2781300" y="56207025"/>
          <a:ext cx="0" cy="391083"/>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2" name="Text Box 787">
          <a:extLst>
            <a:ext uri="{FF2B5EF4-FFF2-40B4-BE49-F238E27FC236}">
              <a16:creationId xmlns:a16="http://schemas.microsoft.com/office/drawing/2014/main" id="{B0E701C1-3581-4CAD-93AE-2F7322B4387D}"/>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3" name="Text Box 788">
          <a:extLst>
            <a:ext uri="{FF2B5EF4-FFF2-40B4-BE49-F238E27FC236}">
              <a16:creationId xmlns:a16="http://schemas.microsoft.com/office/drawing/2014/main" id="{8D482D3E-CBA9-400F-85CF-B4FEA069CB24}"/>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4" name="Text Box 789">
          <a:extLst>
            <a:ext uri="{FF2B5EF4-FFF2-40B4-BE49-F238E27FC236}">
              <a16:creationId xmlns:a16="http://schemas.microsoft.com/office/drawing/2014/main" id="{5316358D-D806-4AF2-9631-CE295765582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5" name="Text Box 790">
          <a:extLst>
            <a:ext uri="{FF2B5EF4-FFF2-40B4-BE49-F238E27FC236}">
              <a16:creationId xmlns:a16="http://schemas.microsoft.com/office/drawing/2014/main" id="{1E501AD9-05A0-4877-89CF-E14808C79F74}"/>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6" name="Text Box 791">
          <a:extLst>
            <a:ext uri="{FF2B5EF4-FFF2-40B4-BE49-F238E27FC236}">
              <a16:creationId xmlns:a16="http://schemas.microsoft.com/office/drawing/2014/main" id="{CF1BF55E-E20D-48B6-9A7C-FE58ACC65C6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7" name="Text Box 792">
          <a:extLst>
            <a:ext uri="{FF2B5EF4-FFF2-40B4-BE49-F238E27FC236}">
              <a16:creationId xmlns:a16="http://schemas.microsoft.com/office/drawing/2014/main" id="{C63775B9-C93C-4CE6-BA96-DB8C1945382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8" name="Text Box 793">
          <a:extLst>
            <a:ext uri="{FF2B5EF4-FFF2-40B4-BE49-F238E27FC236}">
              <a16:creationId xmlns:a16="http://schemas.microsoft.com/office/drawing/2014/main" id="{27463A64-7480-45FF-860A-2E92DC4A633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299" name="Text Box 794">
          <a:extLst>
            <a:ext uri="{FF2B5EF4-FFF2-40B4-BE49-F238E27FC236}">
              <a16:creationId xmlns:a16="http://schemas.microsoft.com/office/drawing/2014/main" id="{7EB7E223-E1C5-46CB-AE59-C383B88CEFE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0" name="Text Box 795">
          <a:extLst>
            <a:ext uri="{FF2B5EF4-FFF2-40B4-BE49-F238E27FC236}">
              <a16:creationId xmlns:a16="http://schemas.microsoft.com/office/drawing/2014/main" id="{CD757990-EE38-4234-BF41-2BE32DE2FD8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1" name="Text Box 796">
          <a:extLst>
            <a:ext uri="{FF2B5EF4-FFF2-40B4-BE49-F238E27FC236}">
              <a16:creationId xmlns:a16="http://schemas.microsoft.com/office/drawing/2014/main" id="{63CB4E5A-8623-4B40-93E1-8744A720659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2" name="Text Box 797">
          <a:extLst>
            <a:ext uri="{FF2B5EF4-FFF2-40B4-BE49-F238E27FC236}">
              <a16:creationId xmlns:a16="http://schemas.microsoft.com/office/drawing/2014/main" id="{3B465851-237A-45A6-8045-B075DAFFAC5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3" name="Text Box 798">
          <a:extLst>
            <a:ext uri="{FF2B5EF4-FFF2-40B4-BE49-F238E27FC236}">
              <a16:creationId xmlns:a16="http://schemas.microsoft.com/office/drawing/2014/main" id="{EBAE3E1D-F93E-46CD-95E5-C9548511ADF9}"/>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4" name="Text Box 799">
          <a:extLst>
            <a:ext uri="{FF2B5EF4-FFF2-40B4-BE49-F238E27FC236}">
              <a16:creationId xmlns:a16="http://schemas.microsoft.com/office/drawing/2014/main" id="{149162DD-15A4-404D-B4FD-B2CEDABF51FD}"/>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5" name="Text Box 800">
          <a:extLst>
            <a:ext uri="{FF2B5EF4-FFF2-40B4-BE49-F238E27FC236}">
              <a16:creationId xmlns:a16="http://schemas.microsoft.com/office/drawing/2014/main" id="{7684D2B9-1143-4D8B-9C1A-BA39BB2C1A1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6" name="Text Box 801">
          <a:extLst>
            <a:ext uri="{FF2B5EF4-FFF2-40B4-BE49-F238E27FC236}">
              <a16:creationId xmlns:a16="http://schemas.microsoft.com/office/drawing/2014/main" id="{ECB3A6D0-BFF7-44DE-8CFD-377E60777047}"/>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7" name="Text Box 802">
          <a:extLst>
            <a:ext uri="{FF2B5EF4-FFF2-40B4-BE49-F238E27FC236}">
              <a16:creationId xmlns:a16="http://schemas.microsoft.com/office/drawing/2014/main" id="{35C90126-9B74-4A6A-892C-198373737BF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8" name="Text Box 803">
          <a:extLst>
            <a:ext uri="{FF2B5EF4-FFF2-40B4-BE49-F238E27FC236}">
              <a16:creationId xmlns:a16="http://schemas.microsoft.com/office/drawing/2014/main" id="{7B1AF545-F69A-474C-9313-C0EE2D4096E4}"/>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09" name="Text Box 804">
          <a:extLst>
            <a:ext uri="{FF2B5EF4-FFF2-40B4-BE49-F238E27FC236}">
              <a16:creationId xmlns:a16="http://schemas.microsoft.com/office/drawing/2014/main" id="{121D4912-840F-4BB0-97B0-1B7867FC4929}"/>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0" name="Text Box 805">
          <a:extLst>
            <a:ext uri="{FF2B5EF4-FFF2-40B4-BE49-F238E27FC236}">
              <a16:creationId xmlns:a16="http://schemas.microsoft.com/office/drawing/2014/main" id="{66702150-1826-4A57-AA3C-75B175D15430}"/>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1" name="Text Box 806">
          <a:extLst>
            <a:ext uri="{FF2B5EF4-FFF2-40B4-BE49-F238E27FC236}">
              <a16:creationId xmlns:a16="http://schemas.microsoft.com/office/drawing/2014/main" id="{F94EA5C0-69C9-4AE6-BD1E-2DB26403EB3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2" name="Text Box 807">
          <a:extLst>
            <a:ext uri="{FF2B5EF4-FFF2-40B4-BE49-F238E27FC236}">
              <a16:creationId xmlns:a16="http://schemas.microsoft.com/office/drawing/2014/main" id="{77AD82DC-4710-4C0D-9F4B-5817EB412953}"/>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3" name="Text Box 808">
          <a:extLst>
            <a:ext uri="{FF2B5EF4-FFF2-40B4-BE49-F238E27FC236}">
              <a16:creationId xmlns:a16="http://schemas.microsoft.com/office/drawing/2014/main" id="{BEB5B434-5946-4BFC-98D0-2FE318EFE2F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4" name="Text Box 809">
          <a:extLst>
            <a:ext uri="{FF2B5EF4-FFF2-40B4-BE49-F238E27FC236}">
              <a16:creationId xmlns:a16="http://schemas.microsoft.com/office/drawing/2014/main" id="{8BD91143-3DDA-4949-85F4-795FE135ED5D}"/>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5" name="Text Box 810">
          <a:extLst>
            <a:ext uri="{FF2B5EF4-FFF2-40B4-BE49-F238E27FC236}">
              <a16:creationId xmlns:a16="http://schemas.microsoft.com/office/drawing/2014/main" id="{55124B7B-F84B-4F72-9E60-47AB6EB671D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6" name="Text Box 811">
          <a:extLst>
            <a:ext uri="{FF2B5EF4-FFF2-40B4-BE49-F238E27FC236}">
              <a16:creationId xmlns:a16="http://schemas.microsoft.com/office/drawing/2014/main" id="{06CDB6CD-CAB0-4DFF-A6DD-EBC64176BA3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7" name="Text Box 812">
          <a:extLst>
            <a:ext uri="{FF2B5EF4-FFF2-40B4-BE49-F238E27FC236}">
              <a16:creationId xmlns:a16="http://schemas.microsoft.com/office/drawing/2014/main" id="{EB6EA687-77A4-4EA0-9550-CE4678F11AB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8" name="Text Box 813">
          <a:extLst>
            <a:ext uri="{FF2B5EF4-FFF2-40B4-BE49-F238E27FC236}">
              <a16:creationId xmlns:a16="http://schemas.microsoft.com/office/drawing/2014/main" id="{C60B0F77-2387-43E7-9D86-0B3AEBECD8E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19" name="Text Box 814">
          <a:extLst>
            <a:ext uri="{FF2B5EF4-FFF2-40B4-BE49-F238E27FC236}">
              <a16:creationId xmlns:a16="http://schemas.microsoft.com/office/drawing/2014/main" id="{6DA6DC93-7AB3-43A9-BA5E-0A119982F57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0" name="Text Box 815">
          <a:extLst>
            <a:ext uri="{FF2B5EF4-FFF2-40B4-BE49-F238E27FC236}">
              <a16:creationId xmlns:a16="http://schemas.microsoft.com/office/drawing/2014/main" id="{37CA28AC-E50F-4C86-BFFC-4276E988F04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1" name="Text Box 816">
          <a:extLst>
            <a:ext uri="{FF2B5EF4-FFF2-40B4-BE49-F238E27FC236}">
              <a16:creationId xmlns:a16="http://schemas.microsoft.com/office/drawing/2014/main" id="{B6CD2D0C-5914-49DA-BBF8-28581B10E49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2" name="Text Box 817">
          <a:extLst>
            <a:ext uri="{FF2B5EF4-FFF2-40B4-BE49-F238E27FC236}">
              <a16:creationId xmlns:a16="http://schemas.microsoft.com/office/drawing/2014/main" id="{ADE0E015-327B-403D-9487-658B704D38C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3" name="Text Box 818">
          <a:extLst>
            <a:ext uri="{FF2B5EF4-FFF2-40B4-BE49-F238E27FC236}">
              <a16:creationId xmlns:a16="http://schemas.microsoft.com/office/drawing/2014/main" id="{24363D7B-C0AE-4D81-9058-791ECF00FD1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4" name="Text Box 819">
          <a:extLst>
            <a:ext uri="{FF2B5EF4-FFF2-40B4-BE49-F238E27FC236}">
              <a16:creationId xmlns:a16="http://schemas.microsoft.com/office/drawing/2014/main" id="{984000A0-85F7-4BFA-A656-D6905F4AB82E}"/>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5" name="Text Box 820">
          <a:extLst>
            <a:ext uri="{FF2B5EF4-FFF2-40B4-BE49-F238E27FC236}">
              <a16:creationId xmlns:a16="http://schemas.microsoft.com/office/drawing/2014/main" id="{BD4F238C-9AD7-48EB-8502-F2F84A31AFD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6" name="Text Box 821">
          <a:extLst>
            <a:ext uri="{FF2B5EF4-FFF2-40B4-BE49-F238E27FC236}">
              <a16:creationId xmlns:a16="http://schemas.microsoft.com/office/drawing/2014/main" id="{265D1CB1-E23F-4F13-8830-2A549A87D06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7" name="Text Box 822">
          <a:extLst>
            <a:ext uri="{FF2B5EF4-FFF2-40B4-BE49-F238E27FC236}">
              <a16:creationId xmlns:a16="http://schemas.microsoft.com/office/drawing/2014/main" id="{15180089-3B45-4A59-80A6-D5A3A7BCAA74}"/>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8" name="Text Box 823">
          <a:extLst>
            <a:ext uri="{FF2B5EF4-FFF2-40B4-BE49-F238E27FC236}">
              <a16:creationId xmlns:a16="http://schemas.microsoft.com/office/drawing/2014/main" id="{38A11CE3-60E7-4DC7-91A0-CDA0449B34F3}"/>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29" name="Text Box 824">
          <a:extLst>
            <a:ext uri="{FF2B5EF4-FFF2-40B4-BE49-F238E27FC236}">
              <a16:creationId xmlns:a16="http://schemas.microsoft.com/office/drawing/2014/main" id="{FA951B12-EA03-47A1-9D0A-59E4641D2A5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0" name="Text Box 825">
          <a:extLst>
            <a:ext uri="{FF2B5EF4-FFF2-40B4-BE49-F238E27FC236}">
              <a16:creationId xmlns:a16="http://schemas.microsoft.com/office/drawing/2014/main" id="{56A3E7CF-CEDA-4DCD-9236-4C7D60A0A362}"/>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1" name="Text Box 826">
          <a:extLst>
            <a:ext uri="{FF2B5EF4-FFF2-40B4-BE49-F238E27FC236}">
              <a16:creationId xmlns:a16="http://schemas.microsoft.com/office/drawing/2014/main" id="{A0B9A03E-5621-466A-BB6D-9728DE7CD4E6}"/>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2" name="Text Box 827">
          <a:extLst>
            <a:ext uri="{FF2B5EF4-FFF2-40B4-BE49-F238E27FC236}">
              <a16:creationId xmlns:a16="http://schemas.microsoft.com/office/drawing/2014/main" id="{A2A18816-AF23-4916-B6F2-7B27A8E5CC2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3" name="Text Box 828">
          <a:extLst>
            <a:ext uri="{FF2B5EF4-FFF2-40B4-BE49-F238E27FC236}">
              <a16:creationId xmlns:a16="http://schemas.microsoft.com/office/drawing/2014/main" id="{D7E472C4-0EBB-401D-8177-A173D061CDAE}"/>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4" name="Text Box 829">
          <a:extLst>
            <a:ext uri="{FF2B5EF4-FFF2-40B4-BE49-F238E27FC236}">
              <a16:creationId xmlns:a16="http://schemas.microsoft.com/office/drawing/2014/main" id="{6A3F81AB-8A48-4739-9D65-19B2C5D49B1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5" name="Text Box 830">
          <a:extLst>
            <a:ext uri="{FF2B5EF4-FFF2-40B4-BE49-F238E27FC236}">
              <a16:creationId xmlns:a16="http://schemas.microsoft.com/office/drawing/2014/main" id="{DA35BBB0-9088-4B5A-84C5-75A533F6AE7B}"/>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6" name="Text Box 831">
          <a:extLst>
            <a:ext uri="{FF2B5EF4-FFF2-40B4-BE49-F238E27FC236}">
              <a16:creationId xmlns:a16="http://schemas.microsoft.com/office/drawing/2014/main" id="{22A6B7A4-1070-4738-9911-8F55717B90A2}"/>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7" name="Text Box 832">
          <a:extLst>
            <a:ext uri="{FF2B5EF4-FFF2-40B4-BE49-F238E27FC236}">
              <a16:creationId xmlns:a16="http://schemas.microsoft.com/office/drawing/2014/main" id="{9801AFB1-5ABC-43F7-AE9C-E941E8330E9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8" name="Text Box 833">
          <a:extLst>
            <a:ext uri="{FF2B5EF4-FFF2-40B4-BE49-F238E27FC236}">
              <a16:creationId xmlns:a16="http://schemas.microsoft.com/office/drawing/2014/main" id="{BA679801-BACA-4439-BDC7-6FB53194A83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39" name="Text Box 834">
          <a:extLst>
            <a:ext uri="{FF2B5EF4-FFF2-40B4-BE49-F238E27FC236}">
              <a16:creationId xmlns:a16="http://schemas.microsoft.com/office/drawing/2014/main" id="{01D40BCB-F817-4D98-9DAC-A18F599B363C}"/>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0" name="Text Box 835">
          <a:extLst>
            <a:ext uri="{FF2B5EF4-FFF2-40B4-BE49-F238E27FC236}">
              <a16:creationId xmlns:a16="http://schemas.microsoft.com/office/drawing/2014/main" id="{6BBD18B4-0D04-4074-A5D2-52CA90612FE6}"/>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1" name="Text Box 836">
          <a:extLst>
            <a:ext uri="{FF2B5EF4-FFF2-40B4-BE49-F238E27FC236}">
              <a16:creationId xmlns:a16="http://schemas.microsoft.com/office/drawing/2014/main" id="{FF4DB2A8-6F9B-4CA2-A96C-C3E832370F8D}"/>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2" name="Text Box 837">
          <a:extLst>
            <a:ext uri="{FF2B5EF4-FFF2-40B4-BE49-F238E27FC236}">
              <a16:creationId xmlns:a16="http://schemas.microsoft.com/office/drawing/2014/main" id="{5895D836-E830-40B9-8FEF-A52D0EC265A1}"/>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3" name="Text Box 838">
          <a:extLst>
            <a:ext uri="{FF2B5EF4-FFF2-40B4-BE49-F238E27FC236}">
              <a16:creationId xmlns:a16="http://schemas.microsoft.com/office/drawing/2014/main" id="{4F65DBAE-F3FF-4FCC-8117-301E41C5C315}"/>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4" name="Text Box 839">
          <a:extLst>
            <a:ext uri="{FF2B5EF4-FFF2-40B4-BE49-F238E27FC236}">
              <a16:creationId xmlns:a16="http://schemas.microsoft.com/office/drawing/2014/main" id="{77BD3F50-0BE6-4075-A561-DD5113B0256A}"/>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twoCellAnchor editAs="oneCell">
    <xdr:from>
      <xdr:col>2</xdr:col>
      <xdr:colOff>2019300</xdr:colOff>
      <xdr:row>239</xdr:row>
      <xdr:rowOff>0</xdr:rowOff>
    </xdr:from>
    <xdr:to>
      <xdr:col>2</xdr:col>
      <xdr:colOff>2019300</xdr:colOff>
      <xdr:row>240</xdr:row>
      <xdr:rowOff>62191</xdr:rowOff>
    </xdr:to>
    <xdr:sp macro="" textlink="">
      <xdr:nvSpPr>
        <xdr:cNvPr id="345" name="Text Box 840">
          <a:extLst>
            <a:ext uri="{FF2B5EF4-FFF2-40B4-BE49-F238E27FC236}">
              <a16:creationId xmlns:a16="http://schemas.microsoft.com/office/drawing/2014/main" id="{A83CE5FD-B676-487D-995C-72BF8F0F25CF}"/>
            </a:ext>
          </a:extLst>
        </xdr:cNvPr>
        <xdr:cNvSpPr txBox="1">
          <a:spLocks noChangeArrowheads="1"/>
        </xdr:cNvSpPr>
      </xdr:nvSpPr>
      <xdr:spPr bwMode="auto">
        <a:xfrm>
          <a:off x="2781300" y="56207025"/>
          <a:ext cx="0" cy="224116"/>
        </a:xfrm>
        <a:prstGeom prst="rect">
          <a:avLst/>
        </a:prstGeom>
        <a:noFill/>
        <a:ln w="9525">
          <a:noFill/>
          <a:miter lim="800000"/>
          <a:headEnd/>
          <a:tailEnd/>
        </a:ln>
      </xdr:spPr>
    </xdr:sp>
    <xdr:clientData/>
  </xdr:twoCellAnchor>
  <xdr:oneCellAnchor>
    <xdr:from>
      <xdr:col>4</xdr:col>
      <xdr:colOff>0</xdr:colOff>
      <xdr:row>105</xdr:row>
      <xdr:rowOff>0</xdr:rowOff>
    </xdr:from>
    <xdr:ext cx="76200" cy="200025"/>
    <xdr:sp macro="" textlink="">
      <xdr:nvSpPr>
        <xdr:cNvPr id="346" name="Text Box 2261">
          <a:extLst>
            <a:ext uri="{FF2B5EF4-FFF2-40B4-BE49-F238E27FC236}">
              <a16:creationId xmlns:a16="http://schemas.microsoft.com/office/drawing/2014/main" id="{66DB308D-F272-462C-903D-C01E3616561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47" name="Text Box 2262">
          <a:extLst>
            <a:ext uri="{FF2B5EF4-FFF2-40B4-BE49-F238E27FC236}">
              <a16:creationId xmlns:a16="http://schemas.microsoft.com/office/drawing/2014/main" id="{02B48C1E-2552-457A-9F7E-C5E81F86409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48" name="Text Box 2263">
          <a:extLst>
            <a:ext uri="{FF2B5EF4-FFF2-40B4-BE49-F238E27FC236}">
              <a16:creationId xmlns:a16="http://schemas.microsoft.com/office/drawing/2014/main" id="{DFB35B8A-A015-48B1-A26B-58EB4F104C8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49" name="Text Box 2264">
          <a:extLst>
            <a:ext uri="{FF2B5EF4-FFF2-40B4-BE49-F238E27FC236}">
              <a16:creationId xmlns:a16="http://schemas.microsoft.com/office/drawing/2014/main" id="{A4ED54DD-5EE4-4C3C-9323-850B66B6F5D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0" name="Text Box 2265">
          <a:extLst>
            <a:ext uri="{FF2B5EF4-FFF2-40B4-BE49-F238E27FC236}">
              <a16:creationId xmlns:a16="http://schemas.microsoft.com/office/drawing/2014/main" id="{CBB007D8-A499-4161-8BA5-76FC794BA870}"/>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1" name="Text Box 2266">
          <a:extLst>
            <a:ext uri="{FF2B5EF4-FFF2-40B4-BE49-F238E27FC236}">
              <a16:creationId xmlns:a16="http://schemas.microsoft.com/office/drawing/2014/main" id="{6DDF39F9-2D11-4FE1-BC7B-ADAA497FB521}"/>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2" name="Text Box 2267">
          <a:extLst>
            <a:ext uri="{FF2B5EF4-FFF2-40B4-BE49-F238E27FC236}">
              <a16:creationId xmlns:a16="http://schemas.microsoft.com/office/drawing/2014/main" id="{0BA6B80A-68AF-42EB-B4BD-4AEAB80129C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3" name="Text Box 2268">
          <a:extLst>
            <a:ext uri="{FF2B5EF4-FFF2-40B4-BE49-F238E27FC236}">
              <a16:creationId xmlns:a16="http://schemas.microsoft.com/office/drawing/2014/main" id="{B268D92F-845A-42ED-9CC5-3D6A13708E9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4" name="Text Box 2269">
          <a:extLst>
            <a:ext uri="{FF2B5EF4-FFF2-40B4-BE49-F238E27FC236}">
              <a16:creationId xmlns:a16="http://schemas.microsoft.com/office/drawing/2014/main" id="{A08CB651-2CDF-40C0-814D-32CCB3F84F1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5" name="Text Box 2270">
          <a:extLst>
            <a:ext uri="{FF2B5EF4-FFF2-40B4-BE49-F238E27FC236}">
              <a16:creationId xmlns:a16="http://schemas.microsoft.com/office/drawing/2014/main" id="{713F401F-A529-40F8-8B06-C0483C55E1C3}"/>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6" name="Text Box 2271">
          <a:extLst>
            <a:ext uri="{FF2B5EF4-FFF2-40B4-BE49-F238E27FC236}">
              <a16:creationId xmlns:a16="http://schemas.microsoft.com/office/drawing/2014/main" id="{4853464E-1C35-4E94-A68C-4AAADE7BBBE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7" name="Text Box 2272">
          <a:extLst>
            <a:ext uri="{FF2B5EF4-FFF2-40B4-BE49-F238E27FC236}">
              <a16:creationId xmlns:a16="http://schemas.microsoft.com/office/drawing/2014/main" id="{82AD3537-4444-4980-B584-B4043CE44F7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8" name="Text Box 2273">
          <a:extLst>
            <a:ext uri="{FF2B5EF4-FFF2-40B4-BE49-F238E27FC236}">
              <a16:creationId xmlns:a16="http://schemas.microsoft.com/office/drawing/2014/main" id="{5C238917-2FA6-419F-8E1E-16E20BD04C43}"/>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59" name="Text Box 2274">
          <a:extLst>
            <a:ext uri="{FF2B5EF4-FFF2-40B4-BE49-F238E27FC236}">
              <a16:creationId xmlns:a16="http://schemas.microsoft.com/office/drawing/2014/main" id="{ADE80F41-1A25-45C9-8A83-32E6CCD6B13F}"/>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0" name="Text Box 2275">
          <a:extLst>
            <a:ext uri="{FF2B5EF4-FFF2-40B4-BE49-F238E27FC236}">
              <a16:creationId xmlns:a16="http://schemas.microsoft.com/office/drawing/2014/main" id="{B8B2517B-BD4D-4E97-91C0-AE833F81840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1" name="Text Box 2276">
          <a:extLst>
            <a:ext uri="{FF2B5EF4-FFF2-40B4-BE49-F238E27FC236}">
              <a16:creationId xmlns:a16="http://schemas.microsoft.com/office/drawing/2014/main" id="{CB08BA17-A5F8-4607-9440-C5F8173FFA7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2" name="Text Box 2277">
          <a:extLst>
            <a:ext uri="{FF2B5EF4-FFF2-40B4-BE49-F238E27FC236}">
              <a16:creationId xmlns:a16="http://schemas.microsoft.com/office/drawing/2014/main" id="{C0ACDA0B-15FF-47A8-9DC4-A684543AE98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3" name="Text Box 2278">
          <a:extLst>
            <a:ext uri="{FF2B5EF4-FFF2-40B4-BE49-F238E27FC236}">
              <a16:creationId xmlns:a16="http://schemas.microsoft.com/office/drawing/2014/main" id="{001E4D9F-D291-4D07-A1F9-57F8E69A020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4" name="Text Box 2279">
          <a:extLst>
            <a:ext uri="{FF2B5EF4-FFF2-40B4-BE49-F238E27FC236}">
              <a16:creationId xmlns:a16="http://schemas.microsoft.com/office/drawing/2014/main" id="{776A3BB9-8EFF-4BB4-944E-5AED20967C3C}"/>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5" name="Text Box 2280">
          <a:extLst>
            <a:ext uri="{FF2B5EF4-FFF2-40B4-BE49-F238E27FC236}">
              <a16:creationId xmlns:a16="http://schemas.microsoft.com/office/drawing/2014/main" id="{DA983A91-CCFC-49AC-910E-7ED366BE28FF}"/>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6" name="Text Box 2281">
          <a:extLst>
            <a:ext uri="{FF2B5EF4-FFF2-40B4-BE49-F238E27FC236}">
              <a16:creationId xmlns:a16="http://schemas.microsoft.com/office/drawing/2014/main" id="{94D2ACFE-4A7C-4019-8ABC-29922B97B4B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7" name="Text Box 2282">
          <a:extLst>
            <a:ext uri="{FF2B5EF4-FFF2-40B4-BE49-F238E27FC236}">
              <a16:creationId xmlns:a16="http://schemas.microsoft.com/office/drawing/2014/main" id="{5B0CBAC4-7D41-4BA3-8F76-45F61DF72DB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8" name="Text Box 2283">
          <a:extLst>
            <a:ext uri="{FF2B5EF4-FFF2-40B4-BE49-F238E27FC236}">
              <a16:creationId xmlns:a16="http://schemas.microsoft.com/office/drawing/2014/main" id="{286D7358-E52A-4214-9567-64B76245D7F9}"/>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69" name="Text Box 2284">
          <a:extLst>
            <a:ext uri="{FF2B5EF4-FFF2-40B4-BE49-F238E27FC236}">
              <a16:creationId xmlns:a16="http://schemas.microsoft.com/office/drawing/2014/main" id="{84AA5C44-986B-46A0-BB40-085C34B12F5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0" name="Text Box 2285">
          <a:extLst>
            <a:ext uri="{FF2B5EF4-FFF2-40B4-BE49-F238E27FC236}">
              <a16:creationId xmlns:a16="http://schemas.microsoft.com/office/drawing/2014/main" id="{A2017B27-4F3F-49EF-AF27-AB64B1F831B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1" name="Text Box 2286">
          <a:extLst>
            <a:ext uri="{FF2B5EF4-FFF2-40B4-BE49-F238E27FC236}">
              <a16:creationId xmlns:a16="http://schemas.microsoft.com/office/drawing/2014/main" id="{6BE42A61-FF45-41AB-9BA6-23015F4A36D4}"/>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2" name="Text Box 2287">
          <a:extLst>
            <a:ext uri="{FF2B5EF4-FFF2-40B4-BE49-F238E27FC236}">
              <a16:creationId xmlns:a16="http://schemas.microsoft.com/office/drawing/2014/main" id="{C7E5979C-F22B-40D6-9CFE-0FA9C13F516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3" name="Text Box 2288">
          <a:extLst>
            <a:ext uri="{FF2B5EF4-FFF2-40B4-BE49-F238E27FC236}">
              <a16:creationId xmlns:a16="http://schemas.microsoft.com/office/drawing/2014/main" id="{365E9D2E-F9D4-47D8-B22A-D4033D2582FD}"/>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4" name="Text Box 2289">
          <a:extLst>
            <a:ext uri="{FF2B5EF4-FFF2-40B4-BE49-F238E27FC236}">
              <a16:creationId xmlns:a16="http://schemas.microsoft.com/office/drawing/2014/main" id="{B083D810-DB9F-49A2-B46D-61EAE3AAAAC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5" name="Text Box 2290">
          <a:extLst>
            <a:ext uri="{FF2B5EF4-FFF2-40B4-BE49-F238E27FC236}">
              <a16:creationId xmlns:a16="http://schemas.microsoft.com/office/drawing/2014/main" id="{51CB69B5-FE32-4ABA-BC9B-C7D97B9C641D}"/>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6" name="Text Box 2291">
          <a:extLst>
            <a:ext uri="{FF2B5EF4-FFF2-40B4-BE49-F238E27FC236}">
              <a16:creationId xmlns:a16="http://schemas.microsoft.com/office/drawing/2014/main" id="{EF1E3A79-67A7-40C2-A584-3182D9F0653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7" name="Text Box 2292">
          <a:extLst>
            <a:ext uri="{FF2B5EF4-FFF2-40B4-BE49-F238E27FC236}">
              <a16:creationId xmlns:a16="http://schemas.microsoft.com/office/drawing/2014/main" id="{3B27F895-38FA-4E9D-B4CE-51F737282CA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8" name="Text Box 2293">
          <a:extLst>
            <a:ext uri="{FF2B5EF4-FFF2-40B4-BE49-F238E27FC236}">
              <a16:creationId xmlns:a16="http://schemas.microsoft.com/office/drawing/2014/main" id="{F51C69D1-F596-44A8-88F2-853A2DCC955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79" name="Text Box 2294">
          <a:extLst>
            <a:ext uri="{FF2B5EF4-FFF2-40B4-BE49-F238E27FC236}">
              <a16:creationId xmlns:a16="http://schemas.microsoft.com/office/drawing/2014/main" id="{4DCD1CA8-DCD2-4EA4-9872-9ECE43BBB381}"/>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0" name="Text Box 2295">
          <a:extLst>
            <a:ext uri="{FF2B5EF4-FFF2-40B4-BE49-F238E27FC236}">
              <a16:creationId xmlns:a16="http://schemas.microsoft.com/office/drawing/2014/main" id="{2AE31B79-42D0-481A-A337-97E6181A8B6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1" name="Text Box 2296">
          <a:extLst>
            <a:ext uri="{FF2B5EF4-FFF2-40B4-BE49-F238E27FC236}">
              <a16:creationId xmlns:a16="http://schemas.microsoft.com/office/drawing/2014/main" id="{9FAA7F5F-2DC8-42CF-9ED3-680496308620}"/>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2" name="Text Box 2297">
          <a:extLst>
            <a:ext uri="{FF2B5EF4-FFF2-40B4-BE49-F238E27FC236}">
              <a16:creationId xmlns:a16="http://schemas.microsoft.com/office/drawing/2014/main" id="{83A00F74-7DA8-4051-9229-5162226F58D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3" name="Text Box 2298">
          <a:extLst>
            <a:ext uri="{FF2B5EF4-FFF2-40B4-BE49-F238E27FC236}">
              <a16:creationId xmlns:a16="http://schemas.microsoft.com/office/drawing/2014/main" id="{97508E52-F506-4EF1-885F-77D22E0FE33E}"/>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4" name="Text Box 2299">
          <a:extLst>
            <a:ext uri="{FF2B5EF4-FFF2-40B4-BE49-F238E27FC236}">
              <a16:creationId xmlns:a16="http://schemas.microsoft.com/office/drawing/2014/main" id="{34D83CC2-0EB4-4A9A-BA82-52986B8564D0}"/>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5" name="Text Box 2300">
          <a:extLst>
            <a:ext uri="{FF2B5EF4-FFF2-40B4-BE49-F238E27FC236}">
              <a16:creationId xmlns:a16="http://schemas.microsoft.com/office/drawing/2014/main" id="{6705E744-E418-4242-AEDE-3109234664D0}"/>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6" name="Text Box 2301">
          <a:extLst>
            <a:ext uri="{FF2B5EF4-FFF2-40B4-BE49-F238E27FC236}">
              <a16:creationId xmlns:a16="http://schemas.microsoft.com/office/drawing/2014/main" id="{92402074-20FD-4C82-9229-18964ED69FCD}"/>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7" name="Text Box 2302">
          <a:extLst>
            <a:ext uri="{FF2B5EF4-FFF2-40B4-BE49-F238E27FC236}">
              <a16:creationId xmlns:a16="http://schemas.microsoft.com/office/drawing/2014/main" id="{88E312C8-178E-46EA-9983-B06DCE36FE5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8" name="Text Box 2303">
          <a:extLst>
            <a:ext uri="{FF2B5EF4-FFF2-40B4-BE49-F238E27FC236}">
              <a16:creationId xmlns:a16="http://schemas.microsoft.com/office/drawing/2014/main" id="{7B8E76DF-719A-4C3A-A4CB-1DDC85D4514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89" name="Text Box 2304">
          <a:extLst>
            <a:ext uri="{FF2B5EF4-FFF2-40B4-BE49-F238E27FC236}">
              <a16:creationId xmlns:a16="http://schemas.microsoft.com/office/drawing/2014/main" id="{8D53689F-EA1E-4A54-BAB0-52864F73EF0C}"/>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0" name="Text Box 2305">
          <a:extLst>
            <a:ext uri="{FF2B5EF4-FFF2-40B4-BE49-F238E27FC236}">
              <a16:creationId xmlns:a16="http://schemas.microsoft.com/office/drawing/2014/main" id="{104B7809-81D2-4590-B72E-1660B4F335E5}"/>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1" name="Text Box 2306">
          <a:extLst>
            <a:ext uri="{FF2B5EF4-FFF2-40B4-BE49-F238E27FC236}">
              <a16:creationId xmlns:a16="http://schemas.microsoft.com/office/drawing/2014/main" id="{09B57741-2A22-49E5-B820-AD90D3C6DB9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2" name="Text Box 2307">
          <a:extLst>
            <a:ext uri="{FF2B5EF4-FFF2-40B4-BE49-F238E27FC236}">
              <a16:creationId xmlns:a16="http://schemas.microsoft.com/office/drawing/2014/main" id="{915B215C-9399-474B-A9AA-85F53A828D7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3" name="Text Box 2308">
          <a:extLst>
            <a:ext uri="{FF2B5EF4-FFF2-40B4-BE49-F238E27FC236}">
              <a16:creationId xmlns:a16="http://schemas.microsoft.com/office/drawing/2014/main" id="{84CD1C02-8A1A-469E-BCAF-CFE203CBC31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4" name="Text Box 2309">
          <a:extLst>
            <a:ext uri="{FF2B5EF4-FFF2-40B4-BE49-F238E27FC236}">
              <a16:creationId xmlns:a16="http://schemas.microsoft.com/office/drawing/2014/main" id="{E634A10F-9F58-439C-BCE6-7970E75718AA}"/>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5" name="Text Box 2310">
          <a:extLst>
            <a:ext uri="{FF2B5EF4-FFF2-40B4-BE49-F238E27FC236}">
              <a16:creationId xmlns:a16="http://schemas.microsoft.com/office/drawing/2014/main" id="{1AB8C35B-B5C7-40F9-8248-4E14E6A0486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6" name="Text Box 2311">
          <a:extLst>
            <a:ext uri="{FF2B5EF4-FFF2-40B4-BE49-F238E27FC236}">
              <a16:creationId xmlns:a16="http://schemas.microsoft.com/office/drawing/2014/main" id="{6EBA609C-6663-4517-9D4A-E330DCD8E219}"/>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7" name="Text Box 2312">
          <a:extLst>
            <a:ext uri="{FF2B5EF4-FFF2-40B4-BE49-F238E27FC236}">
              <a16:creationId xmlns:a16="http://schemas.microsoft.com/office/drawing/2014/main" id="{1A4BB3D4-5015-49AC-B003-B69AC5D8ECAA}"/>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8" name="Text Box 2313">
          <a:extLst>
            <a:ext uri="{FF2B5EF4-FFF2-40B4-BE49-F238E27FC236}">
              <a16:creationId xmlns:a16="http://schemas.microsoft.com/office/drawing/2014/main" id="{19DD3988-81C1-413E-8EAE-BD59FDA61208}"/>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399" name="Text Box 2314">
          <a:extLst>
            <a:ext uri="{FF2B5EF4-FFF2-40B4-BE49-F238E27FC236}">
              <a16:creationId xmlns:a16="http://schemas.microsoft.com/office/drawing/2014/main" id="{91195A57-9A10-424D-94A3-90E8EA9A8620}"/>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0" name="Text Box 2315">
          <a:extLst>
            <a:ext uri="{FF2B5EF4-FFF2-40B4-BE49-F238E27FC236}">
              <a16:creationId xmlns:a16="http://schemas.microsoft.com/office/drawing/2014/main" id="{649B0E72-2D60-4664-B16C-93D18863A44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1" name="Text Box 2316">
          <a:extLst>
            <a:ext uri="{FF2B5EF4-FFF2-40B4-BE49-F238E27FC236}">
              <a16:creationId xmlns:a16="http://schemas.microsoft.com/office/drawing/2014/main" id="{BD61C69F-BECB-4682-BE66-F7A9C3D775FA}"/>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2" name="Text Box 2317">
          <a:extLst>
            <a:ext uri="{FF2B5EF4-FFF2-40B4-BE49-F238E27FC236}">
              <a16:creationId xmlns:a16="http://schemas.microsoft.com/office/drawing/2014/main" id="{08FEF659-F1BD-4612-835F-5EC9B578CF7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3" name="Text Box 2318">
          <a:extLst>
            <a:ext uri="{FF2B5EF4-FFF2-40B4-BE49-F238E27FC236}">
              <a16:creationId xmlns:a16="http://schemas.microsoft.com/office/drawing/2014/main" id="{78E0732E-B9C3-4F22-BB89-D3EFC64AE0AB}"/>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4" name="Text Box 2319">
          <a:extLst>
            <a:ext uri="{FF2B5EF4-FFF2-40B4-BE49-F238E27FC236}">
              <a16:creationId xmlns:a16="http://schemas.microsoft.com/office/drawing/2014/main" id="{D0C012BC-938A-424D-9288-47A030F173DD}"/>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5" name="Text Box 2320">
          <a:extLst>
            <a:ext uri="{FF2B5EF4-FFF2-40B4-BE49-F238E27FC236}">
              <a16:creationId xmlns:a16="http://schemas.microsoft.com/office/drawing/2014/main" id="{4F07517E-3F19-49CC-A0EE-09B72E5C64F2}"/>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6" name="Text Box 2321">
          <a:extLst>
            <a:ext uri="{FF2B5EF4-FFF2-40B4-BE49-F238E27FC236}">
              <a16:creationId xmlns:a16="http://schemas.microsoft.com/office/drawing/2014/main" id="{889BB788-010E-42C7-B41D-60E1D9470F9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7" name="Text Box 2322">
          <a:extLst>
            <a:ext uri="{FF2B5EF4-FFF2-40B4-BE49-F238E27FC236}">
              <a16:creationId xmlns:a16="http://schemas.microsoft.com/office/drawing/2014/main" id="{DDCE37B1-5975-4C8A-89AB-8CB47E4286A7}"/>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8" name="Text Box 2323">
          <a:extLst>
            <a:ext uri="{FF2B5EF4-FFF2-40B4-BE49-F238E27FC236}">
              <a16:creationId xmlns:a16="http://schemas.microsoft.com/office/drawing/2014/main" id="{7343D202-9983-488B-A085-E2FE557F984E}"/>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09" name="Text Box 2324">
          <a:extLst>
            <a:ext uri="{FF2B5EF4-FFF2-40B4-BE49-F238E27FC236}">
              <a16:creationId xmlns:a16="http://schemas.microsoft.com/office/drawing/2014/main" id="{C1A8F135-0E84-4CC8-BCBF-59933365DE5A}"/>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10" name="Text Box 2325">
          <a:extLst>
            <a:ext uri="{FF2B5EF4-FFF2-40B4-BE49-F238E27FC236}">
              <a16:creationId xmlns:a16="http://schemas.microsoft.com/office/drawing/2014/main" id="{46F5D544-8FCF-4E03-8AD9-AB247A0A4166}"/>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11" name="Text Box 2326">
          <a:extLst>
            <a:ext uri="{FF2B5EF4-FFF2-40B4-BE49-F238E27FC236}">
              <a16:creationId xmlns:a16="http://schemas.microsoft.com/office/drawing/2014/main" id="{856E49C1-6696-4E0B-BDC1-6543543D273D}"/>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12" name="Text Box 2327">
          <a:extLst>
            <a:ext uri="{FF2B5EF4-FFF2-40B4-BE49-F238E27FC236}">
              <a16:creationId xmlns:a16="http://schemas.microsoft.com/office/drawing/2014/main" id="{2F4C4AB9-5DD1-41D0-9D7D-F97F841E94CE}"/>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4</xdr:col>
      <xdr:colOff>0</xdr:colOff>
      <xdr:row>105</xdr:row>
      <xdr:rowOff>0</xdr:rowOff>
    </xdr:from>
    <xdr:ext cx="76200" cy="200025"/>
    <xdr:sp macro="" textlink="">
      <xdr:nvSpPr>
        <xdr:cNvPr id="413" name="Text Box 2328">
          <a:extLst>
            <a:ext uri="{FF2B5EF4-FFF2-40B4-BE49-F238E27FC236}">
              <a16:creationId xmlns:a16="http://schemas.microsoft.com/office/drawing/2014/main" id="{1AC72BAC-8D02-4299-B56F-482F2463824A}"/>
            </a:ext>
          </a:extLst>
        </xdr:cNvPr>
        <xdr:cNvSpPr txBox="1">
          <a:spLocks noChangeArrowheads="1"/>
        </xdr:cNvSpPr>
      </xdr:nvSpPr>
      <xdr:spPr bwMode="auto">
        <a:xfrm>
          <a:off x="5410200" y="20802600"/>
          <a:ext cx="76200" cy="200025"/>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4" name="Text 13315">
          <a:extLst>
            <a:ext uri="{FF2B5EF4-FFF2-40B4-BE49-F238E27FC236}">
              <a16:creationId xmlns:a16="http://schemas.microsoft.com/office/drawing/2014/main" id="{D75DC717-D122-4604-A615-B5834258A580}"/>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5" name="Text 13316">
          <a:extLst>
            <a:ext uri="{FF2B5EF4-FFF2-40B4-BE49-F238E27FC236}">
              <a16:creationId xmlns:a16="http://schemas.microsoft.com/office/drawing/2014/main" id="{D8D47FA6-A956-44F9-9217-F73A29F6028A}"/>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6" name="Text 13317">
          <a:extLst>
            <a:ext uri="{FF2B5EF4-FFF2-40B4-BE49-F238E27FC236}">
              <a16:creationId xmlns:a16="http://schemas.microsoft.com/office/drawing/2014/main" id="{0500F324-8D53-4D9E-8A08-AF7B2D093B61}"/>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7" name="Text 13318">
          <a:extLst>
            <a:ext uri="{FF2B5EF4-FFF2-40B4-BE49-F238E27FC236}">
              <a16:creationId xmlns:a16="http://schemas.microsoft.com/office/drawing/2014/main" id="{FD52AA41-06F9-4C1B-BCD9-61B3DA22F3E9}"/>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8" name="Text 13319">
          <a:extLst>
            <a:ext uri="{FF2B5EF4-FFF2-40B4-BE49-F238E27FC236}">
              <a16:creationId xmlns:a16="http://schemas.microsoft.com/office/drawing/2014/main" id="{6B454AFA-2DC9-4615-94A3-DC58E5F75203}"/>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19" name="Text 13320">
          <a:extLst>
            <a:ext uri="{FF2B5EF4-FFF2-40B4-BE49-F238E27FC236}">
              <a16:creationId xmlns:a16="http://schemas.microsoft.com/office/drawing/2014/main" id="{F38F9C8A-42C8-45C0-8979-CC5815C474E7}"/>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0" name="Text 13321">
          <a:extLst>
            <a:ext uri="{FF2B5EF4-FFF2-40B4-BE49-F238E27FC236}">
              <a16:creationId xmlns:a16="http://schemas.microsoft.com/office/drawing/2014/main" id="{FA46487A-B9FE-4D4D-9CA2-7776007CB032}"/>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1" name="Text 13322">
          <a:extLst>
            <a:ext uri="{FF2B5EF4-FFF2-40B4-BE49-F238E27FC236}">
              <a16:creationId xmlns:a16="http://schemas.microsoft.com/office/drawing/2014/main" id="{3D90EE5B-0494-4032-BF06-CA8E8A2B89B8}"/>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2" name="Text 13323">
          <a:extLst>
            <a:ext uri="{FF2B5EF4-FFF2-40B4-BE49-F238E27FC236}">
              <a16:creationId xmlns:a16="http://schemas.microsoft.com/office/drawing/2014/main" id="{948C4F30-8FC8-4891-BE09-2FB9B7E41495}"/>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3" name="Text 13324">
          <a:extLst>
            <a:ext uri="{FF2B5EF4-FFF2-40B4-BE49-F238E27FC236}">
              <a16:creationId xmlns:a16="http://schemas.microsoft.com/office/drawing/2014/main" id="{44DBBFC3-7FB5-4DF9-B0E7-2671AB2326F4}"/>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4" name="Text 13325">
          <a:extLst>
            <a:ext uri="{FF2B5EF4-FFF2-40B4-BE49-F238E27FC236}">
              <a16:creationId xmlns:a16="http://schemas.microsoft.com/office/drawing/2014/main" id="{E5E51579-0EC9-401D-A023-1BC1F37E887F}"/>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5" name="Text 13326">
          <a:extLst>
            <a:ext uri="{FF2B5EF4-FFF2-40B4-BE49-F238E27FC236}">
              <a16:creationId xmlns:a16="http://schemas.microsoft.com/office/drawing/2014/main" id="{BA424550-0D4C-4344-A4F1-65846ACF3464}"/>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6" name="Text 13327">
          <a:extLst>
            <a:ext uri="{FF2B5EF4-FFF2-40B4-BE49-F238E27FC236}">
              <a16:creationId xmlns:a16="http://schemas.microsoft.com/office/drawing/2014/main" id="{C6DA5542-9856-472E-8051-F6E1343265FC}"/>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7" name="Text 13328">
          <a:extLst>
            <a:ext uri="{FF2B5EF4-FFF2-40B4-BE49-F238E27FC236}">
              <a16:creationId xmlns:a16="http://schemas.microsoft.com/office/drawing/2014/main" id="{5C178120-9CB4-4DB3-BF9C-0D8A9DB92D89}"/>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8" name="Text 13329">
          <a:extLst>
            <a:ext uri="{FF2B5EF4-FFF2-40B4-BE49-F238E27FC236}">
              <a16:creationId xmlns:a16="http://schemas.microsoft.com/office/drawing/2014/main" id="{F03FDBEB-F210-4817-A8E6-5CDDE28EE23F}"/>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29" name="Text 13330">
          <a:extLst>
            <a:ext uri="{FF2B5EF4-FFF2-40B4-BE49-F238E27FC236}">
              <a16:creationId xmlns:a16="http://schemas.microsoft.com/office/drawing/2014/main" id="{22CA8A5E-030C-4C9E-8440-78318D658C64}"/>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30" name="Text 13331">
          <a:extLst>
            <a:ext uri="{FF2B5EF4-FFF2-40B4-BE49-F238E27FC236}">
              <a16:creationId xmlns:a16="http://schemas.microsoft.com/office/drawing/2014/main" id="{032C3710-6B15-45FB-97C7-026DC4E493D3}"/>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195</xdr:row>
      <xdr:rowOff>0</xdr:rowOff>
    </xdr:from>
    <xdr:ext cx="0" cy="209550"/>
    <xdr:sp macro="" textlink="">
      <xdr:nvSpPr>
        <xdr:cNvPr id="431" name="Text 13332">
          <a:extLst>
            <a:ext uri="{FF2B5EF4-FFF2-40B4-BE49-F238E27FC236}">
              <a16:creationId xmlns:a16="http://schemas.microsoft.com/office/drawing/2014/main" id="{B76A97A6-1BCA-490F-9B5B-99BCD9261374}"/>
            </a:ext>
          </a:extLst>
        </xdr:cNvPr>
        <xdr:cNvSpPr txBox="1">
          <a:spLocks noChangeArrowheads="1"/>
        </xdr:cNvSpPr>
      </xdr:nvSpPr>
      <xdr:spPr bwMode="auto">
        <a:xfrm>
          <a:off x="2781300" y="41290875"/>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2" name="Text 13315">
          <a:extLst>
            <a:ext uri="{FF2B5EF4-FFF2-40B4-BE49-F238E27FC236}">
              <a16:creationId xmlns:a16="http://schemas.microsoft.com/office/drawing/2014/main" id="{86620F3A-8687-4523-83C7-E5A961139432}"/>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3" name="Text 13316">
          <a:extLst>
            <a:ext uri="{FF2B5EF4-FFF2-40B4-BE49-F238E27FC236}">
              <a16:creationId xmlns:a16="http://schemas.microsoft.com/office/drawing/2014/main" id="{E3203503-2C42-4DC3-B36F-6D4C7F0694B5}"/>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4" name="Text 13317">
          <a:extLst>
            <a:ext uri="{FF2B5EF4-FFF2-40B4-BE49-F238E27FC236}">
              <a16:creationId xmlns:a16="http://schemas.microsoft.com/office/drawing/2014/main" id="{87B15172-18E0-4531-8371-B4747A1755A4}"/>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5" name="Text 13318">
          <a:extLst>
            <a:ext uri="{FF2B5EF4-FFF2-40B4-BE49-F238E27FC236}">
              <a16:creationId xmlns:a16="http://schemas.microsoft.com/office/drawing/2014/main" id="{C5496D6B-7D9E-4DE4-98F8-D7FE6C1E97BC}"/>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6" name="Text 13319">
          <a:extLst>
            <a:ext uri="{FF2B5EF4-FFF2-40B4-BE49-F238E27FC236}">
              <a16:creationId xmlns:a16="http://schemas.microsoft.com/office/drawing/2014/main" id="{88BFB110-7990-4411-83F1-EEA05768841F}"/>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7" name="Text 13320">
          <a:extLst>
            <a:ext uri="{FF2B5EF4-FFF2-40B4-BE49-F238E27FC236}">
              <a16:creationId xmlns:a16="http://schemas.microsoft.com/office/drawing/2014/main" id="{8F825511-5A1B-4DEC-8839-6708A1310B3E}"/>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8" name="Text 13321">
          <a:extLst>
            <a:ext uri="{FF2B5EF4-FFF2-40B4-BE49-F238E27FC236}">
              <a16:creationId xmlns:a16="http://schemas.microsoft.com/office/drawing/2014/main" id="{29A5C420-A729-4621-B47F-7EBE32B25C5E}"/>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39" name="Text 13322">
          <a:extLst>
            <a:ext uri="{FF2B5EF4-FFF2-40B4-BE49-F238E27FC236}">
              <a16:creationId xmlns:a16="http://schemas.microsoft.com/office/drawing/2014/main" id="{4063B31A-774B-4364-A14D-349BB8492538}"/>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0" name="Text 13323">
          <a:extLst>
            <a:ext uri="{FF2B5EF4-FFF2-40B4-BE49-F238E27FC236}">
              <a16:creationId xmlns:a16="http://schemas.microsoft.com/office/drawing/2014/main" id="{5BA45634-27F9-4898-BD39-3D7FD30F5AE2}"/>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1" name="Text 13324">
          <a:extLst>
            <a:ext uri="{FF2B5EF4-FFF2-40B4-BE49-F238E27FC236}">
              <a16:creationId xmlns:a16="http://schemas.microsoft.com/office/drawing/2014/main" id="{BAB0FC43-A74F-4EBA-9711-6F499FDA6738}"/>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2" name="Text 13325">
          <a:extLst>
            <a:ext uri="{FF2B5EF4-FFF2-40B4-BE49-F238E27FC236}">
              <a16:creationId xmlns:a16="http://schemas.microsoft.com/office/drawing/2014/main" id="{8650B701-B214-4516-BD6F-542E11063F8F}"/>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3" name="Text 13326">
          <a:extLst>
            <a:ext uri="{FF2B5EF4-FFF2-40B4-BE49-F238E27FC236}">
              <a16:creationId xmlns:a16="http://schemas.microsoft.com/office/drawing/2014/main" id="{BD3A5869-76CC-44E7-963C-B89990D66956}"/>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4" name="Text 13327">
          <a:extLst>
            <a:ext uri="{FF2B5EF4-FFF2-40B4-BE49-F238E27FC236}">
              <a16:creationId xmlns:a16="http://schemas.microsoft.com/office/drawing/2014/main" id="{76F8DBB8-6887-4BBB-9800-93B1800AF88B}"/>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5" name="Text 13328">
          <a:extLst>
            <a:ext uri="{FF2B5EF4-FFF2-40B4-BE49-F238E27FC236}">
              <a16:creationId xmlns:a16="http://schemas.microsoft.com/office/drawing/2014/main" id="{F203647D-453D-4BD8-8F7E-F5E28AEB919A}"/>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6" name="Text 13329">
          <a:extLst>
            <a:ext uri="{FF2B5EF4-FFF2-40B4-BE49-F238E27FC236}">
              <a16:creationId xmlns:a16="http://schemas.microsoft.com/office/drawing/2014/main" id="{B496F490-B23C-401A-B55A-3BA9A66A2101}"/>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7" name="Text 13330">
          <a:extLst>
            <a:ext uri="{FF2B5EF4-FFF2-40B4-BE49-F238E27FC236}">
              <a16:creationId xmlns:a16="http://schemas.microsoft.com/office/drawing/2014/main" id="{EEB2D4EE-72B0-402A-81BA-2D3894DA0077}"/>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8" name="Text 13331">
          <a:extLst>
            <a:ext uri="{FF2B5EF4-FFF2-40B4-BE49-F238E27FC236}">
              <a16:creationId xmlns:a16="http://schemas.microsoft.com/office/drawing/2014/main" id="{2102529B-5421-4969-9272-50BB54253061}"/>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oneCellAnchor>
    <xdr:from>
      <xdr:col>2</xdr:col>
      <xdr:colOff>2019300</xdr:colOff>
      <xdr:row>234</xdr:row>
      <xdr:rowOff>0</xdr:rowOff>
    </xdr:from>
    <xdr:ext cx="0" cy="209550"/>
    <xdr:sp macro="" textlink="">
      <xdr:nvSpPr>
        <xdr:cNvPr id="449" name="Text 13332">
          <a:extLst>
            <a:ext uri="{FF2B5EF4-FFF2-40B4-BE49-F238E27FC236}">
              <a16:creationId xmlns:a16="http://schemas.microsoft.com/office/drawing/2014/main" id="{1173043A-2C8A-4374-BF66-E5889FE54C9E}"/>
            </a:ext>
          </a:extLst>
        </xdr:cNvPr>
        <xdr:cNvSpPr txBox="1">
          <a:spLocks noChangeArrowheads="1"/>
        </xdr:cNvSpPr>
      </xdr:nvSpPr>
      <xdr:spPr bwMode="auto">
        <a:xfrm>
          <a:off x="2781300" y="54311550"/>
          <a:ext cx="0" cy="209550"/>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2019300</xdr:colOff>
      <xdr:row>141</xdr:row>
      <xdr:rowOff>0</xdr:rowOff>
    </xdr:from>
    <xdr:to>
      <xdr:col>2</xdr:col>
      <xdr:colOff>2019300</xdr:colOff>
      <xdr:row>141</xdr:row>
      <xdr:rowOff>168275</xdr:rowOff>
    </xdr:to>
    <xdr:sp macro="" textlink="">
      <xdr:nvSpPr>
        <xdr:cNvPr id="2" name="Text Box 497">
          <a:extLst>
            <a:ext uri="{FF2B5EF4-FFF2-40B4-BE49-F238E27FC236}">
              <a16:creationId xmlns:a16="http://schemas.microsoft.com/office/drawing/2014/main" id="{3602C83F-5DB1-484D-81DC-B3BE3C6DB5AE}"/>
            </a:ext>
          </a:extLst>
        </xdr:cNvPr>
        <xdr:cNvSpPr txBox="1">
          <a:spLocks noChangeArrowheads="1"/>
        </xdr:cNvSpPr>
      </xdr:nvSpPr>
      <xdr:spPr bwMode="auto">
        <a:xfrm>
          <a:off x="2781300" y="28032075"/>
          <a:ext cx="0" cy="168275"/>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141</xdr:row>
      <xdr:rowOff>168275</xdr:rowOff>
    </xdr:to>
    <xdr:sp macro="" textlink="">
      <xdr:nvSpPr>
        <xdr:cNvPr id="3" name="Text Box 498">
          <a:extLst>
            <a:ext uri="{FF2B5EF4-FFF2-40B4-BE49-F238E27FC236}">
              <a16:creationId xmlns:a16="http://schemas.microsoft.com/office/drawing/2014/main" id="{C835F9EB-DE0C-4E2C-834F-8057AE24BEC2}"/>
            </a:ext>
          </a:extLst>
        </xdr:cNvPr>
        <xdr:cNvSpPr txBox="1">
          <a:spLocks noChangeArrowheads="1"/>
        </xdr:cNvSpPr>
      </xdr:nvSpPr>
      <xdr:spPr bwMode="auto">
        <a:xfrm>
          <a:off x="2781300" y="28032075"/>
          <a:ext cx="0" cy="168275"/>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38100</xdr:rowOff>
    </xdr:to>
    <xdr:sp macro="" textlink="">
      <xdr:nvSpPr>
        <xdr:cNvPr id="4" name="Text Box 499">
          <a:extLst>
            <a:ext uri="{FF2B5EF4-FFF2-40B4-BE49-F238E27FC236}">
              <a16:creationId xmlns:a16="http://schemas.microsoft.com/office/drawing/2014/main" id="{4D127264-35FD-4599-B768-2350D6593258}"/>
            </a:ext>
          </a:extLst>
        </xdr:cNvPr>
        <xdr:cNvSpPr txBox="1">
          <a:spLocks noChangeArrowheads="1"/>
        </xdr:cNvSpPr>
      </xdr:nvSpPr>
      <xdr:spPr bwMode="auto">
        <a:xfrm>
          <a:off x="2781300" y="28032075"/>
          <a:ext cx="0" cy="22860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38100</xdr:rowOff>
    </xdr:to>
    <xdr:sp macro="" textlink="">
      <xdr:nvSpPr>
        <xdr:cNvPr id="5" name="Text Box 500">
          <a:extLst>
            <a:ext uri="{FF2B5EF4-FFF2-40B4-BE49-F238E27FC236}">
              <a16:creationId xmlns:a16="http://schemas.microsoft.com/office/drawing/2014/main" id="{2CC9766F-E3FC-4D57-8E13-3CCF656E44FF}"/>
            </a:ext>
          </a:extLst>
        </xdr:cNvPr>
        <xdr:cNvSpPr txBox="1">
          <a:spLocks noChangeArrowheads="1"/>
        </xdr:cNvSpPr>
      </xdr:nvSpPr>
      <xdr:spPr bwMode="auto">
        <a:xfrm>
          <a:off x="2781300" y="28032075"/>
          <a:ext cx="0" cy="22860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38100</xdr:rowOff>
    </xdr:to>
    <xdr:sp macro="" textlink="">
      <xdr:nvSpPr>
        <xdr:cNvPr id="6" name="Text Box 501">
          <a:extLst>
            <a:ext uri="{FF2B5EF4-FFF2-40B4-BE49-F238E27FC236}">
              <a16:creationId xmlns:a16="http://schemas.microsoft.com/office/drawing/2014/main" id="{A8AF821B-1A5F-4B5D-A5B0-9D96FEED1B2F}"/>
            </a:ext>
          </a:extLst>
        </xdr:cNvPr>
        <xdr:cNvSpPr txBox="1">
          <a:spLocks noChangeArrowheads="1"/>
        </xdr:cNvSpPr>
      </xdr:nvSpPr>
      <xdr:spPr bwMode="auto">
        <a:xfrm>
          <a:off x="2781300" y="28032075"/>
          <a:ext cx="0" cy="22860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38100</xdr:rowOff>
    </xdr:to>
    <xdr:sp macro="" textlink="">
      <xdr:nvSpPr>
        <xdr:cNvPr id="7" name="Text Box 502">
          <a:extLst>
            <a:ext uri="{FF2B5EF4-FFF2-40B4-BE49-F238E27FC236}">
              <a16:creationId xmlns:a16="http://schemas.microsoft.com/office/drawing/2014/main" id="{443BE7F4-4586-443D-91BA-8A8E9DEFA228}"/>
            </a:ext>
          </a:extLst>
        </xdr:cNvPr>
        <xdr:cNvSpPr txBox="1">
          <a:spLocks noChangeArrowheads="1"/>
        </xdr:cNvSpPr>
      </xdr:nvSpPr>
      <xdr:spPr bwMode="auto">
        <a:xfrm>
          <a:off x="2781300" y="28032075"/>
          <a:ext cx="0" cy="228600"/>
        </a:xfrm>
        <a:prstGeom prst="rect">
          <a:avLst/>
        </a:prstGeom>
        <a:noFill/>
        <a:ln w="9525">
          <a:noFill/>
          <a:miter lim="800000"/>
          <a:headEnd/>
          <a:tailEnd/>
        </a:ln>
      </xdr:spPr>
    </xdr:sp>
    <xdr:clientData/>
  </xdr:twoCellAnchor>
  <xdr:oneCellAnchor>
    <xdr:from>
      <xdr:col>3</xdr:col>
      <xdr:colOff>0</xdr:colOff>
      <xdr:row>94</xdr:row>
      <xdr:rowOff>0</xdr:rowOff>
    </xdr:from>
    <xdr:ext cx="76200" cy="200025"/>
    <xdr:sp macro="" textlink="">
      <xdr:nvSpPr>
        <xdr:cNvPr id="8" name="Text Box 503">
          <a:extLst>
            <a:ext uri="{FF2B5EF4-FFF2-40B4-BE49-F238E27FC236}">
              <a16:creationId xmlns:a16="http://schemas.microsoft.com/office/drawing/2014/main" id="{476B3192-8B05-47BB-99E1-BCEF63C8A3EE}"/>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9" name="Text Box 504">
          <a:extLst>
            <a:ext uri="{FF2B5EF4-FFF2-40B4-BE49-F238E27FC236}">
              <a16:creationId xmlns:a16="http://schemas.microsoft.com/office/drawing/2014/main" id="{A27A72D0-A434-4CDD-8D45-4366AD35613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0" name="Text Box 505">
          <a:extLst>
            <a:ext uri="{FF2B5EF4-FFF2-40B4-BE49-F238E27FC236}">
              <a16:creationId xmlns:a16="http://schemas.microsoft.com/office/drawing/2014/main" id="{C95CE722-2F23-4E4D-9BEE-09541FA6B44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1" name="Text Box 506">
          <a:extLst>
            <a:ext uri="{FF2B5EF4-FFF2-40B4-BE49-F238E27FC236}">
              <a16:creationId xmlns:a16="http://schemas.microsoft.com/office/drawing/2014/main" id="{E86AAAB6-68FD-4B1C-81B7-27251E9D9FA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2" name="Text Box 507">
          <a:extLst>
            <a:ext uri="{FF2B5EF4-FFF2-40B4-BE49-F238E27FC236}">
              <a16:creationId xmlns:a16="http://schemas.microsoft.com/office/drawing/2014/main" id="{1C6E3C6F-809A-4955-9BA8-A52F57ADB178}"/>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3" name="Text Box 508">
          <a:extLst>
            <a:ext uri="{FF2B5EF4-FFF2-40B4-BE49-F238E27FC236}">
              <a16:creationId xmlns:a16="http://schemas.microsoft.com/office/drawing/2014/main" id="{2E92B164-8E40-4F8C-93E7-4A571E69EAC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4" name="Text Box 509">
          <a:extLst>
            <a:ext uri="{FF2B5EF4-FFF2-40B4-BE49-F238E27FC236}">
              <a16:creationId xmlns:a16="http://schemas.microsoft.com/office/drawing/2014/main" id="{E7565ADE-1F94-48B0-BCA7-7BD44E1BDED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5" name="Text Box 510">
          <a:extLst>
            <a:ext uri="{FF2B5EF4-FFF2-40B4-BE49-F238E27FC236}">
              <a16:creationId xmlns:a16="http://schemas.microsoft.com/office/drawing/2014/main" id="{A8004423-639B-49AB-9545-D3BFCEC1E96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6" name="Text Box 511">
          <a:extLst>
            <a:ext uri="{FF2B5EF4-FFF2-40B4-BE49-F238E27FC236}">
              <a16:creationId xmlns:a16="http://schemas.microsoft.com/office/drawing/2014/main" id="{4D03C363-07CB-490D-8B92-B454DD6B656C}"/>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7" name="Text Box 512">
          <a:extLst>
            <a:ext uri="{FF2B5EF4-FFF2-40B4-BE49-F238E27FC236}">
              <a16:creationId xmlns:a16="http://schemas.microsoft.com/office/drawing/2014/main" id="{F3B4E155-06AD-4F39-8B21-E5D7BF2DA1D4}"/>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8" name="Text Box 513">
          <a:extLst>
            <a:ext uri="{FF2B5EF4-FFF2-40B4-BE49-F238E27FC236}">
              <a16:creationId xmlns:a16="http://schemas.microsoft.com/office/drawing/2014/main" id="{747CF06E-C856-4E9D-A30F-D1C0BE6A911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19" name="Text Box 514">
          <a:extLst>
            <a:ext uri="{FF2B5EF4-FFF2-40B4-BE49-F238E27FC236}">
              <a16:creationId xmlns:a16="http://schemas.microsoft.com/office/drawing/2014/main" id="{0B04823D-3DD6-4B8E-93DE-E7A24509326D}"/>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0" name="Text Box 515">
          <a:extLst>
            <a:ext uri="{FF2B5EF4-FFF2-40B4-BE49-F238E27FC236}">
              <a16:creationId xmlns:a16="http://schemas.microsoft.com/office/drawing/2014/main" id="{322C85B3-04DD-4116-A446-73AEA918A14E}"/>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1" name="Text Box 516">
          <a:extLst>
            <a:ext uri="{FF2B5EF4-FFF2-40B4-BE49-F238E27FC236}">
              <a16:creationId xmlns:a16="http://schemas.microsoft.com/office/drawing/2014/main" id="{6FA3F975-37AA-453E-9CE7-F85562A07D2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2" name="Text Box 517">
          <a:extLst>
            <a:ext uri="{FF2B5EF4-FFF2-40B4-BE49-F238E27FC236}">
              <a16:creationId xmlns:a16="http://schemas.microsoft.com/office/drawing/2014/main" id="{075BD426-3E2F-4E4D-8E04-36399418E85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3" name="Text Box 518">
          <a:extLst>
            <a:ext uri="{FF2B5EF4-FFF2-40B4-BE49-F238E27FC236}">
              <a16:creationId xmlns:a16="http://schemas.microsoft.com/office/drawing/2014/main" id="{9066E7A1-2C76-45AD-9367-89572F4589BC}"/>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4" name="Text Box 519">
          <a:extLst>
            <a:ext uri="{FF2B5EF4-FFF2-40B4-BE49-F238E27FC236}">
              <a16:creationId xmlns:a16="http://schemas.microsoft.com/office/drawing/2014/main" id="{3655C789-B0EF-4C65-8E77-A3204EB0316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5" name="Text Box 520">
          <a:extLst>
            <a:ext uri="{FF2B5EF4-FFF2-40B4-BE49-F238E27FC236}">
              <a16:creationId xmlns:a16="http://schemas.microsoft.com/office/drawing/2014/main" id="{184138EE-EF08-48A3-9AF8-2F813E84D61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6" name="Text Box 521">
          <a:extLst>
            <a:ext uri="{FF2B5EF4-FFF2-40B4-BE49-F238E27FC236}">
              <a16:creationId xmlns:a16="http://schemas.microsoft.com/office/drawing/2014/main" id="{16DDD53C-009E-4735-9D3E-3A1AC1C5CE2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7" name="Text Box 522">
          <a:extLst>
            <a:ext uri="{FF2B5EF4-FFF2-40B4-BE49-F238E27FC236}">
              <a16:creationId xmlns:a16="http://schemas.microsoft.com/office/drawing/2014/main" id="{A2CB82A5-4255-4FE1-A491-9ABC079CB77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8" name="Text Box 523">
          <a:extLst>
            <a:ext uri="{FF2B5EF4-FFF2-40B4-BE49-F238E27FC236}">
              <a16:creationId xmlns:a16="http://schemas.microsoft.com/office/drawing/2014/main" id="{41ED7D20-2907-4000-89F7-AC5EF91AC7A7}"/>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29" name="Text Box 524">
          <a:extLst>
            <a:ext uri="{FF2B5EF4-FFF2-40B4-BE49-F238E27FC236}">
              <a16:creationId xmlns:a16="http://schemas.microsoft.com/office/drawing/2014/main" id="{636F6009-A0A2-4579-8F6C-5EF570CC9E5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0" name="Text Box 525">
          <a:extLst>
            <a:ext uri="{FF2B5EF4-FFF2-40B4-BE49-F238E27FC236}">
              <a16:creationId xmlns:a16="http://schemas.microsoft.com/office/drawing/2014/main" id="{7CDC83A0-EED9-4F87-A03B-5C6693A7D84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1" name="Text Box 526">
          <a:extLst>
            <a:ext uri="{FF2B5EF4-FFF2-40B4-BE49-F238E27FC236}">
              <a16:creationId xmlns:a16="http://schemas.microsoft.com/office/drawing/2014/main" id="{13F53190-6175-4C5D-BE9C-A8173A35EAC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2" name="Text Box 527">
          <a:extLst>
            <a:ext uri="{FF2B5EF4-FFF2-40B4-BE49-F238E27FC236}">
              <a16:creationId xmlns:a16="http://schemas.microsoft.com/office/drawing/2014/main" id="{947BE5EF-D980-47A0-AFAD-2B841D62910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3" name="Text Box 528">
          <a:extLst>
            <a:ext uri="{FF2B5EF4-FFF2-40B4-BE49-F238E27FC236}">
              <a16:creationId xmlns:a16="http://schemas.microsoft.com/office/drawing/2014/main" id="{B99F1C99-D4E8-48F2-8D7A-3C84DD1B6315}"/>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4" name="Text Box 529">
          <a:extLst>
            <a:ext uri="{FF2B5EF4-FFF2-40B4-BE49-F238E27FC236}">
              <a16:creationId xmlns:a16="http://schemas.microsoft.com/office/drawing/2014/main" id="{C9FE0B27-EBBA-46E2-9494-F1A9C6DEB18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5" name="Text Box 530">
          <a:extLst>
            <a:ext uri="{FF2B5EF4-FFF2-40B4-BE49-F238E27FC236}">
              <a16:creationId xmlns:a16="http://schemas.microsoft.com/office/drawing/2014/main" id="{8A849B6B-1052-4D8A-A80B-1330E1ACB68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6" name="Text Box 531">
          <a:extLst>
            <a:ext uri="{FF2B5EF4-FFF2-40B4-BE49-F238E27FC236}">
              <a16:creationId xmlns:a16="http://schemas.microsoft.com/office/drawing/2014/main" id="{A4BF81E3-1F33-4A01-A925-22C5C74F806B}"/>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7" name="Text Box 532">
          <a:extLst>
            <a:ext uri="{FF2B5EF4-FFF2-40B4-BE49-F238E27FC236}">
              <a16:creationId xmlns:a16="http://schemas.microsoft.com/office/drawing/2014/main" id="{A1036D0F-20CD-4F89-9A9D-87EF58DA4418}"/>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8" name="Text Box 533">
          <a:extLst>
            <a:ext uri="{FF2B5EF4-FFF2-40B4-BE49-F238E27FC236}">
              <a16:creationId xmlns:a16="http://schemas.microsoft.com/office/drawing/2014/main" id="{074D88EA-92B1-4C41-9CF4-C5201C3ABDE8}"/>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39" name="Text Box 534">
          <a:extLst>
            <a:ext uri="{FF2B5EF4-FFF2-40B4-BE49-F238E27FC236}">
              <a16:creationId xmlns:a16="http://schemas.microsoft.com/office/drawing/2014/main" id="{9A75C657-D556-4C67-8997-63CCD5EA03DD}"/>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0" name="Text Box 535">
          <a:extLst>
            <a:ext uri="{FF2B5EF4-FFF2-40B4-BE49-F238E27FC236}">
              <a16:creationId xmlns:a16="http://schemas.microsoft.com/office/drawing/2014/main" id="{5406DCF8-5E64-4CFD-B0B7-E3F88F234C42}"/>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1" name="Text Box 536">
          <a:extLst>
            <a:ext uri="{FF2B5EF4-FFF2-40B4-BE49-F238E27FC236}">
              <a16:creationId xmlns:a16="http://schemas.microsoft.com/office/drawing/2014/main" id="{AF6EC341-7C97-4D8A-914D-31C5C29714EB}"/>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2" name="Text Box 537">
          <a:extLst>
            <a:ext uri="{FF2B5EF4-FFF2-40B4-BE49-F238E27FC236}">
              <a16:creationId xmlns:a16="http://schemas.microsoft.com/office/drawing/2014/main" id="{4665547C-74E3-41B7-9363-BE58329BB091}"/>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3" name="Text Box 538">
          <a:extLst>
            <a:ext uri="{FF2B5EF4-FFF2-40B4-BE49-F238E27FC236}">
              <a16:creationId xmlns:a16="http://schemas.microsoft.com/office/drawing/2014/main" id="{006F9FE2-C9E4-455E-9B40-9660C96DAEAC}"/>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4" name="Text Box 539">
          <a:extLst>
            <a:ext uri="{FF2B5EF4-FFF2-40B4-BE49-F238E27FC236}">
              <a16:creationId xmlns:a16="http://schemas.microsoft.com/office/drawing/2014/main" id="{A35EAA58-ED72-4622-8C5C-74F0B82E309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5" name="Text Box 540">
          <a:extLst>
            <a:ext uri="{FF2B5EF4-FFF2-40B4-BE49-F238E27FC236}">
              <a16:creationId xmlns:a16="http://schemas.microsoft.com/office/drawing/2014/main" id="{314C90EB-E146-40BA-81C0-0C718D749D9B}"/>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6" name="Text Box 541">
          <a:extLst>
            <a:ext uri="{FF2B5EF4-FFF2-40B4-BE49-F238E27FC236}">
              <a16:creationId xmlns:a16="http://schemas.microsoft.com/office/drawing/2014/main" id="{A764CACD-EFF6-488B-A8CE-F1CD2E2F1A3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7" name="Text Box 542">
          <a:extLst>
            <a:ext uri="{FF2B5EF4-FFF2-40B4-BE49-F238E27FC236}">
              <a16:creationId xmlns:a16="http://schemas.microsoft.com/office/drawing/2014/main" id="{039E7FBB-F7F0-469A-98AD-8D89E456582C}"/>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8" name="Text Box 543">
          <a:extLst>
            <a:ext uri="{FF2B5EF4-FFF2-40B4-BE49-F238E27FC236}">
              <a16:creationId xmlns:a16="http://schemas.microsoft.com/office/drawing/2014/main" id="{12E432BA-8B3A-4BC7-9AC0-1447C7576C02}"/>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49" name="Text Box 544">
          <a:extLst>
            <a:ext uri="{FF2B5EF4-FFF2-40B4-BE49-F238E27FC236}">
              <a16:creationId xmlns:a16="http://schemas.microsoft.com/office/drawing/2014/main" id="{BE4B9FE5-C436-41F3-A115-552F77AA07C6}"/>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0" name="Text Box 545">
          <a:extLst>
            <a:ext uri="{FF2B5EF4-FFF2-40B4-BE49-F238E27FC236}">
              <a16:creationId xmlns:a16="http://schemas.microsoft.com/office/drawing/2014/main" id="{25F1D795-634A-4B66-8AA2-201AD454FBD7}"/>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1" name="Text Box 546">
          <a:extLst>
            <a:ext uri="{FF2B5EF4-FFF2-40B4-BE49-F238E27FC236}">
              <a16:creationId xmlns:a16="http://schemas.microsoft.com/office/drawing/2014/main" id="{06459A69-DA05-4680-9578-92F6D482512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2" name="Text Box 547">
          <a:extLst>
            <a:ext uri="{FF2B5EF4-FFF2-40B4-BE49-F238E27FC236}">
              <a16:creationId xmlns:a16="http://schemas.microsoft.com/office/drawing/2014/main" id="{B3322868-89F7-4B90-A2D9-4AE886C02DBB}"/>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3" name="Text Box 548">
          <a:extLst>
            <a:ext uri="{FF2B5EF4-FFF2-40B4-BE49-F238E27FC236}">
              <a16:creationId xmlns:a16="http://schemas.microsoft.com/office/drawing/2014/main" id="{7F2999B3-C192-417F-BFE1-A542DD7DD2E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4" name="Text Box 549">
          <a:extLst>
            <a:ext uri="{FF2B5EF4-FFF2-40B4-BE49-F238E27FC236}">
              <a16:creationId xmlns:a16="http://schemas.microsoft.com/office/drawing/2014/main" id="{08A718F5-70D2-4E08-8E95-5FF91B65CF19}"/>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5" name="Text Box 550">
          <a:extLst>
            <a:ext uri="{FF2B5EF4-FFF2-40B4-BE49-F238E27FC236}">
              <a16:creationId xmlns:a16="http://schemas.microsoft.com/office/drawing/2014/main" id="{D4FF6D15-60BD-420C-8DEE-8311BC64DF0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6" name="Text Box 551">
          <a:extLst>
            <a:ext uri="{FF2B5EF4-FFF2-40B4-BE49-F238E27FC236}">
              <a16:creationId xmlns:a16="http://schemas.microsoft.com/office/drawing/2014/main" id="{27978D15-7749-4604-AA78-F274AAA12F7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7" name="Text Box 552">
          <a:extLst>
            <a:ext uri="{FF2B5EF4-FFF2-40B4-BE49-F238E27FC236}">
              <a16:creationId xmlns:a16="http://schemas.microsoft.com/office/drawing/2014/main" id="{53EFED93-64AE-4020-90B3-462A5846AA5B}"/>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8" name="Text Box 553">
          <a:extLst>
            <a:ext uri="{FF2B5EF4-FFF2-40B4-BE49-F238E27FC236}">
              <a16:creationId xmlns:a16="http://schemas.microsoft.com/office/drawing/2014/main" id="{60550806-C66E-4B67-A99C-69A290D79182}"/>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59" name="Text Box 554">
          <a:extLst>
            <a:ext uri="{FF2B5EF4-FFF2-40B4-BE49-F238E27FC236}">
              <a16:creationId xmlns:a16="http://schemas.microsoft.com/office/drawing/2014/main" id="{CAF026DB-C22B-49F9-A105-4B7223002591}"/>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0" name="Text Box 555">
          <a:extLst>
            <a:ext uri="{FF2B5EF4-FFF2-40B4-BE49-F238E27FC236}">
              <a16:creationId xmlns:a16="http://schemas.microsoft.com/office/drawing/2014/main" id="{625BBEDE-A785-4652-A7A3-2E637B2BCD9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1" name="Text Box 556">
          <a:extLst>
            <a:ext uri="{FF2B5EF4-FFF2-40B4-BE49-F238E27FC236}">
              <a16:creationId xmlns:a16="http://schemas.microsoft.com/office/drawing/2014/main" id="{AA0BEA0B-597E-4D45-A2D5-6ED2426F6947}"/>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2" name="Text Box 557">
          <a:extLst>
            <a:ext uri="{FF2B5EF4-FFF2-40B4-BE49-F238E27FC236}">
              <a16:creationId xmlns:a16="http://schemas.microsoft.com/office/drawing/2014/main" id="{1005F01A-465C-4483-AA92-C79F148A997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3" name="Text Box 558">
          <a:extLst>
            <a:ext uri="{FF2B5EF4-FFF2-40B4-BE49-F238E27FC236}">
              <a16:creationId xmlns:a16="http://schemas.microsoft.com/office/drawing/2014/main" id="{D0295117-70F2-47DC-8B5B-2875FBD659C9}"/>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4" name="Text Box 559">
          <a:extLst>
            <a:ext uri="{FF2B5EF4-FFF2-40B4-BE49-F238E27FC236}">
              <a16:creationId xmlns:a16="http://schemas.microsoft.com/office/drawing/2014/main" id="{8966519D-015A-43F3-9FFB-CBD6AC753B74}"/>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5" name="Text Box 560">
          <a:extLst>
            <a:ext uri="{FF2B5EF4-FFF2-40B4-BE49-F238E27FC236}">
              <a16:creationId xmlns:a16="http://schemas.microsoft.com/office/drawing/2014/main" id="{3E45AE36-2DD8-4214-81BC-F3106D8BBAF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6" name="Text Box 561">
          <a:extLst>
            <a:ext uri="{FF2B5EF4-FFF2-40B4-BE49-F238E27FC236}">
              <a16:creationId xmlns:a16="http://schemas.microsoft.com/office/drawing/2014/main" id="{06E52E95-5AC2-4A32-9D07-80FFE41D514D}"/>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7" name="Text Box 562">
          <a:extLst>
            <a:ext uri="{FF2B5EF4-FFF2-40B4-BE49-F238E27FC236}">
              <a16:creationId xmlns:a16="http://schemas.microsoft.com/office/drawing/2014/main" id="{E135A483-F215-4B0A-897A-2FFA30C89B5A}"/>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8" name="Text Box 563">
          <a:extLst>
            <a:ext uri="{FF2B5EF4-FFF2-40B4-BE49-F238E27FC236}">
              <a16:creationId xmlns:a16="http://schemas.microsoft.com/office/drawing/2014/main" id="{0D980FE2-BB23-4CBE-98EA-E1AECF7AA62E}"/>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69" name="Text Box 564">
          <a:extLst>
            <a:ext uri="{FF2B5EF4-FFF2-40B4-BE49-F238E27FC236}">
              <a16:creationId xmlns:a16="http://schemas.microsoft.com/office/drawing/2014/main" id="{A2506642-349C-49E9-8993-5A9CC6EE8DDD}"/>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0" name="Text Box 565">
          <a:extLst>
            <a:ext uri="{FF2B5EF4-FFF2-40B4-BE49-F238E27FC236}">
              <a16:creationId xmlns:a16="http://schemas.microsoft.com/office/drawing/2014/main" id="{4F312F1C-35A7-4FDC-8DD6-47BFA7CD11E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1" name="Text Box 566">
          <a:extLst>
            <a:ext uri="{FF2B5EF4-FFF2-40B4-BE49-F238E27FC236}">
              <a16:creationId xmlns:a16="http://schemas.microsoft.com/office/drawing/2014/main" id="{72749327-A765-4B6E-967D-ABFF5A38B839}"/>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2" name="Text Box 567">
          <a:extLst>
            <a:ext uri="{FF2B5EF4-FFF2-40B4-BE49-F238E27FC236}">
              <a16:creationId xmlns:a16="http://schemas.microsoft.com/office/drawing/2014/main" id="{D5639720-E5A1-4872-980B-C5F4CF10C0FF}"/>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3" name="Text Box 568">
          <a:extLst>
            <a:ext uri="{FF2B5EF4-FFF2-40B4-BE49-F238E27FC236}">
              <a16:creationId xmlns:a16="http://schemas.microsoft.com/office/drawing/2014/main" id="{CCEFD7AE-F655-4488-BC45-D73CA4982243}"/>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4" name="Text Box 569">
          <a:extLst>
            <a:ext uri="{FF2B5EF4-FFF2-40B4-BE49-F238E27FC236}">
              <a16:creationId xmlns:a16="http://schemas.microsoft.com/office/drawing/2014/main" id="{F4DAB6FF-166F-4E1E-9E06-A1D784BEDE50}"/>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oneCellAnchor>
    <xdr:from>
      <xdr:col>3</xdr:col>
      <xdr:colOff>0</xdr:colOff>
      <xdr:row>94</xdr:row>
      <xdr:rowOff>0</xdr:rowOff>
    </xdr:from>
    <xdr:ext cx="76200" cy="200025"/>
    <xdr:sp macro="" textlink="">
      <xdr:nvSpPr>
        <xdr:cNvPr id="75" name="Text Box 570">
          <a:extLst>
            <a:ext uri="{FF2B5EF4-FFF2-40B4-BE49-F238E27FC236}">
              <a16:creationId xmlns:a16="http://schemas.microsoft.com/office/drawing/2014/main" id="{E68FC6CF-EBAA-4F8E-A654-500D34ECB9E8}"/>
            </a:ext>
          </a:extLst>
        </xdr:cNvPr>
        <xdr:cNvSpPr txBox="1">
          <a:spLocks noChangeArrowheads="1"/>
        </xdr:cNvSpPr>
      </xdr:nvSpPr>
      <xdr:spPr bwMode="auto">
        <a:xfrm>
          <a:off x="5191125" y="19373850"/>
          <a:ext cx="76200" cy="200025"/>
        </a:xfrm>
        <a:prstGeom prst="rect">
          <a:avLst/>
        </a:prstGeom>
        <a:noFill/>
        <a:ln w="9525">
          <a:noFill/>
          <a:miter lim="800000"/>
          <a:headEnd/>
          <a:tailEnd/>
        </a:ln>
      </xdr:spPr>
    </xdr:sp>
    <xdr:clientData/>
  </xdr:oneCellAnchor>
  <xdr:twoCellAnchor editAs="oneCell">
    <xdr:from>
      <xdr:col>2</xdr:col>
      <xdr:colOff>2019300</xdr:colOff>
      <xdr:row>94</xdr:row>
      <xdr:rowOff>0</xdr:rowOff>
    </xdr:from>
    <xdr:to>
      <xdr:col>2</xdr:col>
      <xdr:colOff>2019300</xdr:colOff>
      <xdr:row>97</xdr:row>
      <xdr:rowOff>167772</xdr:rowOff>
    </xdr:to>
    <xdr:sp macro="" textlink="">
      <xdr:nvSpPr>
        <xdr:cNvPr id="76" name="Text 13315">
          <a:extLst>
            <a:ext uri="{FF2B5EF4-FFF2-40B4-BE49-F238E27FC236}">
              <a16:creationId xmlns:a16="http://schemas.microsoft.com/office/drawing/2014/main" id="{C405A7D6-E1B0-4F9F-8EFE-304938495DB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77" name="Text 13316">
          <a:extLst>
            <a:ext uri="{FF2B5EF4-FFF2-40B4-BE49-F238E27FC236}">
              <a16:creationId xmlns:a16="http://schemas.microsoft.com/office/drawing/2014/main" id="{24245880-EB66-4C99-838F-95382E20941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78" name="Text 13317">
          <a:extLst>
            <a:ext uri="{FF2B5EF4-FFF2-40B4-BE49-F238E27FC236}">
              <a16:creationId xmlns:a16="http://schemas.microsoft.com/office/drawing/2014/main" id="{E6DDA69A-F57B-4C41-9616-35492351180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79" name="Text 13318">
          <a:extLst>
            <a:ext uri="{FF2B5EF4-FFF2-40B4-BE49-F238E27FC236}">
              <a16:creationId xmlns:a16="http://schemas.microsoft.com/office/drawing/2014/main" id="{C524F788-6094-4541-8F1C-5DCE2232217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0" name="Text 13319">
          <a:extLst>
            <a:ext uri="{FF2B5EF4-FFF2-40B4-BE49-F238E27FC236}">
              <a16:creationId xmlns:a16="http://schemas.microsoft.com/office/drawing/2014/main" id="{4EB10561-868B-4A98-82F3-881A6DF1ECAC}"/>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1" name="Text 13320">
          <a:extLst>
            <a:ext uri="{FF2B5EF4-FFF2-40B4-BE49-F238E27FC236}">
              <a16:creationId xmlns:a16="http://schemas.microsoft.com/office/drawing/2014/main" id="{9C3E8CC2-F5C2-486F-B005-90B85A084387}"/>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2" name="Text 13321">
          <a:extLst>
            <a:ext uri="{FF2B5EF4-FFF2-40B4-BE49-F238E27FC236}">
              <a16:creationId xmlns:a16="http://schemas.microsoft.com/office/drawing/2014/main" id="{DB8B3BD3-807E-43F2-B23F-8A35BF11A41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3" name="Text 13322">
          <a:extLst>
            <a:ext uri="{FF2B5EF4-FFF2-40B4-BE49-F238E27FC236}">
              <a16:creationId xmlns:a16="http://schemas.microsoft.com/office/drawing/2014/main" id="{E6DBDAE0-5AE8-4546-A3FB-998E7E91B742}"/>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4" name="Text 13323">
          <a:extLst>
            <a:ext uri="{FF2B5EF4-FFF2-40B4-BE49-F238E27FC236}">
              <a16:creationId xmlns:a16="http://schemas.microsoft.com/office/drawing/2014/main" id="{6F31F2C5-F414-4496-B06B-FDF9D1C4B332}"/>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5" name="Text 13324">
          <a:extLst>
            <a:ext uri="{FF2B5EF4-FFF2-40B4-BE49-F238E27FC236}">
              <a16:creationId xmlns:a16="http://schemas.microsoft.com/office/drawing/2014/main" id="{13550378-AD61-4F48-A68D-CEBB795CA22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6" name="Text 13325">
          <a:extLst>
            <a:ext uri="{FF2B5EF4-FFF2-40B4-BE49-F238E27FC236}">
              <a16:creationId xmlns:a16="http://schemas.microsoft.com/office/drawing/2014/main" id="{E3753318-E605-40B2-9423-35FBCACD2FF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7" name="Text 13326">
          <a:extLst>
            <a:ext uri="{FF2B5EF4-FFF2-40B4-BE49-F238E27FC236}">
              <a16:creationId xmlns:a16="http://schemas.microsoft.com/office/drawing/2014/main" id="{5E3E551B-B2A1-4968-9F2F-73B2C31C850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8" name="Text 13327">
          <a:extLst>
            <a:ext uri="{FF2B5EF4-FFF2-40B4-BE49-F238E27FC236}">
              <a16:creationId xmlns:a16="http://schemas.microsoft.com/office/drawing/2014/main" id="{871F20F5-BFFF-423C-BD61-69846FD2E422}"/>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89" name="Text 13328">
          <a:extLst>
            <a:ext uri="{FF2B5EF4-FFF2-40B4-BE49-F238E27FC236}">
              <a16:creationId xmlns:a16="http://schemas.microsoft.com/office/drawing/2014/main" id="{ED2C19EB-1DE5-41AB-8027-3BF3A4BE06C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0" name="Text 13329">
          <a:extLst>
            <a:ext uri="{FF2B5EF4-FFF2-40B4-BE49-F238E27FC236}">
              <a16:creationId xmlns:a16="http://schemas.microsoft.com/office/drawing/2014/main" id="{17B2E94D-B6BA-41F1-B88F-70B8F731258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1" name="Text 13330">
          <a:extLst>
            <a:ext uri="{FF2B5EF4-FFF2-40B4-BE49-F238E27FC236}">
              <a16:creationId xmlns:a16="http://schemas.microsoft.com/office/drawing/2014/main" id="{FDB17907-00F4-4E2D-9C66-A5AB2215D15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2" name="Text 13331">
          <a:extLst>
            <a:ext uri="{FF2B5EF4-FFF2-40B4-BE49-F238E27FC236}">
              <a16:creationId xmlns:a16="http://schemas.microsoft.com/office/drawing/2014/main" id="{A801496E-DA6B-4B8E-9083-823A2CA7AA75}"/>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3" name="Text 13332">
          <a:extLst>
            <a:ext uri="{FF2B5EF4-FFF2-40B4-BE49-F238E27FC236}">
              <a16:creationId xmlns:a16="http://schemas.microsoft.com/office/drawing/2014/main" id="{BC472FCE-7C92-423A-B0C8-A463F829729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4" name="Text 13315">
          <a:extLst>
            <a:ext uri="{FF2B5EF4-FFF2-40B4-BE49-F238E27FC236}">
              <a16:creationId xmlns:a16="http://schemas.microsoft.com/office/drawing/2014/main" id="{42203C86-8B08-4511-813B-97322BF5963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5" name="Text 13316">
          <a:extLst>
            <a:ext uri="{FF2B5EF4-FFF2-40B4-BE49-F238E27FC236}">
              <a16:creationId xmlns:a16="http://schemas.microsoft.com/office/drawing/2014/main" id="{E4C62FF6-71A4-485F-AB21-0840E7BAF0C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6" name="Text 13317">
          <a:extLst>
            <a:ext uri="{FF2B5EF4-FFF2-40B4-BE49-F238E27FC236}">
              <a16:creationId xmlns:a16="http://schemas.microsoft.com/office/drawing/2014/main" id="{4E7289A6-78DA-4B55-9919-B75E7D16C59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7" name="Text 13318">
          <a:extLst>
            <a:ext uri="{FF2B5EF4-FFF2-40B4-BE49-F238E27FC236}">
              <a16:creationId xmlns:a16="http://schemas.microsoft.com/office/drawing/2014/main" id="{72D46EFD-04BB-41E6-B788-723200CF5CEC}"/>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8" name="Text 13319">
          <a:extLst>
            <a:ext uri="{FF2B5EF4-FFF2-40B4-BE49-F238E27FC236}">
              <a16:creationId xmlns:a16="http://schemas.microsoft.com/office/drawing/2014/main" id="{4B75D930-D07F-45F5-A196-EA25C3339F0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99" name="Text 13320">
          <a:extLst>
            <a:ext uri="{FF2B5EF4-FFF2-40B4-BE49-F238E27FC236}">
              <a16:creationId xmlns:a16="http://schemas.microsoft.com/office/drawing/2014/main" id="{4D6B0027-1F8F-485E-9DEB-FEF87E1CC2F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0" name="Text 13321">
          <a:extLst>
            <a:ext uri="{FF2B5EF4-FFF2-40B4-BE49-F238E27FC236}">
              <a16:creationId xmlns:a16="http://schemas.microsoft.com/office/drawing/2014/main" id="{2F776477-FE85-48D2-B8F7-65A467EE810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1" name="Text 13322">
          <a:extLst>
            <a:ext uri="{FF2B5EF4-FFF2-40B4-BE49-F238E27FC236}">
              <a16:creationId xmlns:a16="http://schemas.microsoft.com/office/drawing/2014/main" id="{FC55C453-B4C6-4371-BCF7-C4597202C16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2" name="Text 13323">
          <a:extLst>
            <a:ext uri="{FF2B5EF4-FFF2-40B4-BE49-F238E27FC236}">
              <a16:creationId xmlns:a16="http://schemas.microsoft.com/office/drawing/2014/main" id="{A9FE2896-E302-4679-A999-34A916478B36}"/>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3" name="Text 13324">
          <a:extLst>
            <a:ext uri="{FF2B5EF4-FFF2-40B4-BE49-F238E27FC236}">
              <a16:creationId xmlns:a16="http://schemas.microsoft.com/office/drawing/2014/main" id="{79DFCAAE-7B6A-4303-AF9A-A106E71CF71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4" name="Text 13325">
          <a:extLst>
            <a:ext uri="{FF2B5EF4-FFF2-40B4-BE49-F238E27FC236}">
              <a16:creationId xmlns:a16="http://schemas.microsoft.com/office/drawing/2014/main" id="{1E5C0C05-79BA-40CC-A0EE-15C1266C6224}"/>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5" name="Text 13326">
          <a:extLst>
            <a:ext uri="{FF2B5EF4-FFF2-40B4-BE49-F238E27FC236}">
              <a16:creationId xmlns:a16="http://schemas.microsoft.com/office/drawing/2014/main" id="{68727E87-B2B5-449F-AE4A-0277859B6E2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6" name="Text 13327">
          <a:extLst>
            <a:ext uri="{FF2B5EF4-FFF2-40B4-BE49-F238E27FC236}">
              <a16:creationId xmlns:a16="http://schemas.microsoft.com/office/drawing/2014/main" id="{C70C79E9-18BA-424C-A2C4-1DD2C3BFC5C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7" name="Text 13328">
          <a:extLst>
            <a:ext uri="{FF2B5EF4-FFF2-40B4-BE49-F238E27FC236}">
              <a16:creationId xmlns:a16="http://schemas.microsoft.com/office/drawing/2014/main" id="{F1BDB4D4-AEB2-4ABB-BDC0-44AA9AAEF96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8" name="Text 13329">
          <a:extLst>
            <a:ext uri="{FF2B5EF4-FFF2-40B4-BE49-F238E27FC236}">
              <a16:creationId xmlns:a16="http://schemas.microsoft.com/office/drawing/2014/main" id="{2F06BB2B-2A29-4FDC-B368-D64CEAD2735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09" name="Text 13330">
          <a:extLst>
            <a:ext uri="{FF2B5EF4-FFF2-40B4-BE49-F238E27FC236}">
              <a16:creationId xmlns:a16="http://schemas.microsoft.com/office/drawing/2014/main" id="{D722DD2A-FC11-469D-9D64-5127C72B43A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0" name="Text 13331">
          <a:extLst>
            <a:ext uri="{FF2B5EF4-FFF2-40B4-BE49-F238E27FC236}">
              <a16:creationId xmlns:a16="http://schemas.microsoft.com/office/drawing/2014/main" id="{FE66920B-D2D0-47A1-A5BA-00FA28F766E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1" name="Text 13332">
          <a:extLst>
            <a:ext uri="{FF2B5EF4-FFF2-40B4-BE49-F238E27FC236}">
              <a16:creationId xmlns:a16="http://schemas.microsoft.com/office/drawing/2014/main" id="{A33ED3B9-4580-40C8-8219-2D26B5632F8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2" name="Text 13315">
          <a:extLst>
            <a:ext uri="{FF2B5EF4-FFF2-40B4-BE49-F238E27FC236}">
              <a16:creationId xmlns:a16="http://schemas.microsoft.com/office/drawing/2014/main" id="{43FD1460-807B-41D9-B837-63301438D4A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3" name="Text 13316">
          <a:extLst>
            <a:ext uri="{FF2B5EF4-FFF2-40B4-BE49-F238E27FC236}">
              <a16:creationId xmlns:a16="http://schemas.microsoft.com/office/drawing/2014/main" id="{E3557C90-7B63-413E-AB60-C128EA19947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4" name="Text 13317">
          <a:extLst>
            <a:ext uri="{FF2B5EF4-FFF2-40B4-BE49-F238E27FC236}">
              <a16:creationId xmlns:a16="http://schemas.microsoft.com/office/drawing/2014/main" id="{ED3B6154-550F-4C67-81B4-3663369826D6}"/>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5" name="Text 13318">
          <a:extLst>
            <a:ext uri="{FF2B5EF4-FFF2-40B4-BE49-F238E27FC236}">
              <a16:creationId xmlns:a16="http://schemas.microsoft.com/office/drawing/2014/main" id="{66B6FADF-CCE8-4240-9F8B-A6F13A8921F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6" name="Text 13319">
          <a:extLst>
            <a:ext uri="{FF2B5EF4-FFF2-40B4-BE49-F238E27FC236}">
              <a16:creationId xmlns:a16="http://schemas.microsoft.com/office/drawing/2014/main" id="{AC74E308-A614-41B5-9E9D-DB65561EC07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7" name="Text 13320">
          <a:extLst>
            <a:ext uri="{FF2B5EF4-FFF2-40B4-BE49-F238E27FC236}">
              <a16:creationId xmlns:a16="http://schemas.microsoft.com/office/drawing/2014/main" id="{51281249-5556-410C-8944-40D2103F128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8" name="Text 13321">
          <a:extLst>
            <a:ext uri="{FF2B5EF4-FFF2-40B4-BE49-F238E27FC236}">
              <a16:creationId xmlns:a16="http://schemas.microsoft.com/office/drawing/2014/main" id="{BE4455B9-5C95-43D6-86CD-66E4576D647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19" name="Text 13322">
          <a:extLst>
            <a:ext uri="{FF2B5EF4-FFF2-40B4-BE49-F238E27FC236}">
              <a16:creationId xmlns:a16="http://schemas.microsoft.com/office/drawing/2014/main" id="{858369B0-2F20-41E9-BE4C-0875CB5622D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0" name="Text 13323">
          <a:extLst>
            <a:ext uri="{FF2B5EF4-FFF2-40B4-BE49-F238E27FC236}">
              <a16:creationId xmlns:a16="http://schemas.microsoft.com/office/drawing/2014/main" id="{F82BADB4-2F8D-43D5-952A-D852E764A62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1" name="Text 13324">
          <a:extLst>
            <a:ext uri="{FF2B5EF4-FFF2-40B4-BE49-F238E27FC236}">
              <a16:creationId xmlns:a16="http://schemas.microsoft.com/office/drawing/2014/main" id="{18B42346-462F-407F-896F-640CEE477A0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2" name="Text 13325">
          <a:extLst>
            <a:ext uri="{FF2B5EF4-FFF2-40B4-BE49-F238E27FC236}">
              <a16:creationId xmlns:a16="http://schemas.microsoft.com/office/drawing/2014/main" id="{E783CB06-DB65-463F-B691-96400E8E9A2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3" name="Text 13326">
          <a:extLst>
            <a:ext uri="{FF2B5EF4-FFF2-40B4-BE49-F238E27FC236}">
              <a16:creationId xmlns:a16="http://schemas.microsoft.com/office/drawing/2014/main" id="{097339AC-3FFF-4D68-85FA-1055E5913AA7}"/>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4" name="Text 13327">
          <a:extLst>
            <a:ext uri="{FF2B5EF4-FFF2-40B4-BE49-F238E27FC236}">
              <a16:creationId xmlns:a16="http://schemas.microsoft.com/office/drawing/2014/main" id="{8BCBB9E0-BE8D-4CE7-990F-A3F977D88513}"/>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5" name="Text 13328">
          <a:extLst>
            <a:ext uri="{FF2B5EF4-FFF2-40B4-BE49-F238E27FC236}">
              <a16:creationId xmlns:a16="http://schemas.microsoft.com/office/drawing/2014/main" id="{6158219A-99D9-4C08-B418-0D2755C663F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6" name="Text 13329">
          <a:extLst>
            <a:ext uri="{FF2B5EF4-FFF2-40B4-BE49-F238E27FC236}">
              <a16:creationId xmlns:a16="http://schemas.microsoft.com/office/drawing/2014/main" id="{FF673B68-16D1-40EC-954F-881DF108B2F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7" name="Text 13330">
          <a:extLst>
            <a:ext uri="{FF2B5EF4-FFF2-40B4-BE49-F238E27FC236}">
              <a16:creationId xmlns:a16="http://schemas.microsoft.com/office/drawing/2014/main" id="{25649306-CC3C-488C-B582-1B83939D6935}"/>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8" name="Text 13331">
          <a:extLst>
            <a:ext uri="{FF2B5EF4-FFF2-40B4-BE49-F238E27FC236}">
              <a16:creationId xmlns:a16="http://schemas.microsoft.com/office/drawing/2014/main" id="{3C8A856C-A684-4702-82AB-97FBF2628FA7}"/>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29" name="Text 13332">
          <a:extLst>
            <a:ext uri="{FF2B5EF4-FFF2-40B4-BE49-F238E27FC236}">
              <a16:creationId xmlns:a16="http://schemas.microsoft.com/office/drawing/2014/main" id="{3184915D-FA36-4709-A02A-AAC3D116794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0" name="Text 13315">
          <a:extLst>
            <a:ext uri="{FF2B5EF4-FFF2-40B4-BE49-F238E27FC236}">
              <a16:creationId xmlns:a16="http://schemas.microsoft.com/office/drawing/2014/main" id="{F7F44ABC-46E5-4426-A69A-F040ED8ACC8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1" name="Text 13316">
          <a:extLst>
            <a:ext uri="{FF2B5EF4-FFF2-40B4-BE49-F238E27FC236}">
              <a16:creationId xmlns:a16="http://schemas.microsoft.com/office/drawing/2014/main" id="{D66E3F3B-8D85-44D6-957A-73D7C71C7A3A}"/>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2" name="Text 13317">
          <a:extLst>
            <a:ext uri="{FF2B5EF4-FFF2-40B4-BE49-F238E27FC236}">
              <a16:creationId xmlns:a16="http://schemas.microsoft.com/office/drawing/2014/main" id="{3E4590FE-31B0-4427-8C7C-0ECD6ACA6676}"/>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3" name="Text 13318">
          <a:extLst>
            <a:ext uri="{FF2B5EF4-FFF2-40B4-BE49-F238E27FC236}">
              <a16:creationId xmlns:a16="http://schemas.microsoft.com/office/drawing/2014/main" id="{AD387E5C-2B99-4146-BE56-8A3A676C803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4" name="Text 13319">
          <a:extLst>
            <a:ext uri="{FF2B5EF4-FFF2-40B4-BE49-F238E27FC236}">
              <a16:creationId xmlns:a16="http://schemas.microsoft.com/office/drawing/2014/main" id="{C4E59765-EAED-4CBA-B41D-21230D6BD6C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5" name="Text 13320">
          <a:extLst>
            <a:ext uri="{FF2B5EF4-FFF2-40B4-BE49-F238E27FC236}">
              <a16:creationId xmlns:a16="http://schemas.microsoft.com/office/drawing/2014/main" id="{FAE06C28-43C6-4B5D-99D7-9743A5D7E1E2}"/>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6" name="Text 13321">
          <a:extLst>
            <a:ext uri="{FF2B5EF4-FFF2-40B4-BE49-F238E27FC236}">
              <a16:creationId xmlns:a16="http://schemas.microsoft.com/office/drawing/2014/main" id="{3D2A532F-C59B-49C5-A20F-41B5340665C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7" name="Text 13322">
          <a:extLst>
            <a:ext uri="{FF2B5EF4-FFF2-40B4-BE49-F238E27FC236}">
              <a16:creationId xmlns:a16="http://schemas.microsoft.com/office/drawing/2014/main" id="{D4225742-4315-41E1-A059-EE981231BF4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8" name="Text 13323">
          <a:extLst>
            <a:ext uri="{FF2B5EF4-FFF2-40B4-BE49-F238E27FC236}">
              <a16:creationId xmlns:a16="http://schemas.microsoft.com/office/drawing/2014/main" id="{9AC87A3D-A328-4C69-BDA5-614FA295EEE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39" name="Text 13324">
          <a:extLst>
            <a:ext uri="{FF2B5EF4-FFF2-40B4-BE49-F238E27FC236}">
              <a16:creationId xmlns:a16="http://schemas.microsoft.com/office/drawing/2014/main" id="{A0B002C8-FD66-4BF6-96DB-4788AC007BB3}"/>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0" name="Text 13325">
          <a:extLst>
            <a:ext uri="{FF2B5EF4-FFF2-40B4-BE49-F238E27FC236}">
              <a16:creationId xmlns:a16="http://schemas.microsoft.com/office/drawing/2014/main" id="{EC6FB737-042A-48C1-8B14-284C78E10DF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1" name="Text 13326">
          <a:extLst>
            <a:ext uri="{FF2B5EF4-FFF2-40B4-BE49-F238E27FC236}">
              <a16:creationId xmlns:a16="http://schemas.microsoft.com/office/drawing/2014/main" id="{73954087-8A11-4B32-9960-8465DC73D6A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2" name="Text 13327">
          <a:extLst>
            <a:ext uri="{FF2B5EF4-FFF2-40B4-BE49-F238E27FC236}">
              <a16:creationId xmlns:a16="http://schemas.microsoft.com/office/drawing/2014/main" id="{AE6A3606-FD7E-452B-8992-505CC1A9EEC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3" name="Text 13328">
          <a:extLst>
            <a:ext uri="{FF2B5EF4-FFF2-40B4-BE49-F238E27FC236}">
              <a16:creationId xmlns:a16="http://schemas.microsoft.com/office/drawing/2014/main" id="{4FBA05F8-6AE2-4C25-831B-D3673FA5EA83}"/>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4" name="Text 13329">
          <a:extLst>
            <a:ext uri="{FF2B5EF4-FFF2-40B4-BE49-F238E27FC236}">
              <a16:creationId xmlns:a16="http://schemas.microsoft.com/office/drawing/2014/main" id="{904C292B-3B1A-4F02-A7FD-A87154F7596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5" name="Text 13330">
          <a:extLst>
            <a:ext uri="{FF2B5EF4-FFF2-40B4-BE49-F238E27FC236}">
              <a16:creationId xmlns:a16="http://schemas.microsoft.com/office/drawing/2014/main" id="{9B845C25-3594-4BB5-B85E-1FFD41145B1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6" name="Text 13331">
          <a:extLst>
            <a:ext uri="{FF2B5EF4-FFF2-40B4-BE49-F238E27FC236}">
              <a16:creationId xmlns:a16="http://schemas.microsoft.com/office/drawing/2014/main" id="{1D9C73AB-7645-4033-9C5E-36B13533457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7" name="Text 13332">
          <a:extLst>
            <a:ext uri="{FF2B5EF4-FFF2-40B4-BE49-F238E27FC236}">
              <a16:creationId xmlns:a16="http://schemas.microsoft.com/office/drawing/2014/main" id="{819CF6FB-8453-4927-94D2-CA35A88BC42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8" name="Text 13315">
          <a:extLst>
            <a:ext uri="{FF2B5EF4-FFF2-40B4-BE49-F238E27FC236}">
              <a16:creationId xmlns:a16="http://schemas.microsoft.com/office/drawing/2014/main" id="{9DDB9A88-60E2-4265-B13F-5BBA11763259}"/>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49" name="Text 13316">
          <a:extLst>
            <a:ext uri="{FF2B5EF4-FFF2-40B4-BE49-F238E27FC236}">
              <a16:creationId xmlns:a16="http://schemas.microsoft.com/office/drawing/2014/main" id="{97FD30BF-1C7A-4865-8E59-52B540558A68}"/>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0" name="Text 13317">
          <a:extLst>
            <a:ext uri="{FF2B5EF4-FFF2-40B4-BE49-F238E27FC236}">
              <a16:creationId xmlns:a16="http://schemas.microsoft.com/office/drawing/2014/main" id="{D6B9C602-810D-4F69-B7A4-5F605B4650F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1" name="Text 13318">
          <a:extLst>
            <a:ext uri="{FF2B5EF4-FFF2-40B4-BE49-F238E27FC236}">
              <a16:creationId xmlns:a16="http://schemas.microsoft.com/office/drawing/2014/main" id="{497AE4F4-556D-4C3A-A873-922FBDE37F53}"/>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2" name="Text 13319">
          <a:extLst>
            <a:ext uri="{FF2B5EF4-FFF2-40B4-BE49-F238E27FC236}">
              <a16:creationId xmlns:a16="http://schemas.microsoft.com/office/drawing/2014/main" id="{EF568AF0-C5EF-478B-A05A-8CAA1A1D423E}"/>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3" name="Text 13320">
          <a:extLst>
            <a:ext uri="{FF2B5EF4-FFF2-40B4-BE49-F238E27FC236}">
              <a16:creationId xmlns:a16="http://schemas.microsoft.com/office/drawing/2014/main" id="{8B6F5E2C-CD20-4FFD-81E7-BB59CC6647E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4" name="Text 13321">
          <a:extLst>
            <a:ext uri="{FF2B5EF4-FFF2-40B4-BE49-F238E27FC236}">
              <a16:creationId xmlns:a16="http://schemas.microsoft.com/office/drawing/2014/main" id="{CCB0E74E-0318-48EE-BCB9-38F4CF35B02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5" name="Text 13322">
          <a:extLst>
            <a:ext uri="{FF2B5EF4-FFF2-40B4-BE49-F238E27FC236}">
              <a16:creationId xmlns:a16="http://schemas.microsoft.com/office/drawing/2014/main" id="{9AE521D0-E45D-4D05-81AB-AD4C70A34BC1}"/>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6" name="Text 13323">
          <a:extLst>
            <a:ext uri="{FF2B5EF4-FFF2-40B4-BE49-F238E27FC236}">
              <a16:creationId xmlns:a16="http://schemas.microsoft.com/office/drawing/2014/main" id="{955E9494-45FB-4B88-8A79-418A658405A0}"/>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7" name="Text 13324">
          <a:extLst>
            <a:ext uri="{FF2B5EF4-FFF2-40B4-BE49-F238E27FC236}">
              <a16:creationId xmlns:a16="http://schemas.microsoft.com/office/drawing/2014/main" id="{8ACB452D-F737-4614-B408-87B9DE9E4CBF}"/>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8" name="Text 13325">
          <a:extLst>
            <a:ext uri="{FF2B5EF4-FFF2-40B4-BE49-F238E27FC236}">
              <a16:creationId xmlns:a16="http://schemas.microsoft.com/office/drawing/2014/main" id="{CC9C0404-7825-4D16-A914-EDC02A8830FC}"/>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59" name="Text 13326">
          <a:extLst>
            <a:ext uri="{FF2B5EF4-FFF2-40B4-BE49-F238E27FC236}">
              <a16:creationId xmlns:a16="http://schemas.microsoft.com/office/drawing/2014/main" id="{B46031E8-78D0-441D-A497-4F245256A6A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0" name="Text 13327">
          <a:extLst>
            <a:ext uri="{FF2B5EF4-FFF2-40B4-BE49-F238E27FC236}">
              <a16:creationId xmlns:a16="http://schemas.microsoft.com/office/drawing/2014/main" id="{171CD8C4-E148-4CC2-A7E6-EFEA47D0D014}"/>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1" name="Text 13328">
          <a:extLst>
            <a:ext uri="{FF2B5EF4-FFF2-40B4-BE49-F238E27FC236}">
              <a16:creationId xmlns:a16="http://schemas.microsoft.com/office/drawing/2014/main" id="{B65BF8F9-FC89-45B7-82EB-445B78F24DFD}"/>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2" name="Text 13329">
          <a:extLst>
            <a:ext uri="{FF2B5EF4-FFF2-40B4-BE49-F238E27FC236}">
              <a16:creationId xmlns:a16="http://schemas.microsoft.com/office/drawing/2014/main" id="{8A7E2591-A743-4D90-8DEB-1E1F1BBA4513}"/>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3" name="Text 13330">
          <a:extLst>
            <a:ext uri="{FF2B5EF4-FFF2-40B4-BE49-F238E27FC236}">
              <a16:creationId xmlns:a16="http://schemas.microsoft.com/office/drawing/2014/main" id="{0DFC1087-C3DF-4055-BA40-8186EB077717}"/>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4" name="Text 13331">
          <a:extLst>
            <a:ext uri="{FF2B5EF4-FFF2-40B4-BE49-F238E27FC236}">
              <a16:creationId xmlns:a16="http://schemas.microsoft.com/office/drawing/2014/main" id="{D5218210-4D66-44EB-B35F-77FF3E2CF5A5}"/>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94</xdr:row>
      <xdr:rowOff>0</xdr:rowOff>
    </xdr:from>
    <xdr:to>
      <xdr:col>2</xdr:col>
      <xdr:colOff>2019300</xdr:colOff>
      <xdr:row>97</xdr:row>
      <xdr:rowOff>167772</xdr:rowOff>
    </xdr:to>
    <xdr:sp macro="" textlink="">
      <xdr:nvSpPr>
        <xdr:cNvPr id="165" name="Text 13332">
          <a:extLst>
            <a:ext uri="{FF2B5EF4-FFF2-40B4-BE49-F238E27FC236}">
              <a16:creationId xmlns:a16="http://schemas.microsoft.com/office/drawing/2014/main" id="{B0CED34B-3D04-4204-A52E-38734015C31B}"/>
            </a:ext>
          </a:extLst>
        </xdr:cNvPr>
        <xdr:cNvSpPr txBox="1">
          <a:spLocks noChangeArrowheads="1"/>
        </xdr:cNvSpPr>
      </xdr:nvSpPr>
      <xdr:spPr bwMode="auto">
        <a:xfrm>
          <a:off x="2781300" y="19373850"/>
          <a:ext cx="0" cy="834522"/>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66" name="Text 13315">
          <a:extLst>
            <a:ext uri="{FF2B5EF4-FFF2-40B4-BE49-F238E27FC236}">
              <a16:creationId xmlns:a16="http://schemas.microsoft.com/office/drawing/2014/main" id="{AB3F5CED-C164-4763-B471-446FF9FCEEF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67" name="Text 13316">
          <a:extLst>
            <a:ext uri="{FF2B5EF4-FFF2-40B4-BE49-F238E27FC236}">
              <a16:creationId xmlns:a16="http://schemas.microsoft.com/office/drawing/2014/main" id="{2F49D395-EE30-4F91-B8A7-C2617C3FD40F}"/>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68" name="Text 13317">
          <a:extLst>
            <a:ext uri="{FF2B5EF4-FFF2-40B4-BE49-F238E27FC236}">
              <a16:creationId xmlns:a16="http://schemas.microsoft.com/office/drawing/2014/main" id="{C3514C07-6A8F-49B9-BD3A-168A90A4001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69" name="Text 13318">
          <a:extLst>
            <a:ext uri="{FF2B5EF4-FFF2-40B4-BE49-F238E27FC236}">
              <a16:creationId xmlns:a16="http://schemas.microsoft.com/office/drawing/2014/main" id="{DB461EDC-7961-4885-8B25-CB4E2319F564}"/>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0" name="Text 13319">
          <a:extLst>
            <a:ext uri="{FF2B5EF4-FFF2-40B4-BE49-F238E27FC236}">
              <a16:creationId xmlns:a16="http://schemas.microsoft.com/office/drawing/2014/main" id="{E027ED9E-E04A-42F3-8D96-B216904F4DE7}"/>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1" name="Text 13320">
          <a:extLst>
            <a:ext uri="{FF2B5EF4-FFF2-40B4-BE49-F238E27FC236}">
              <a16:creationId xmlns:a16="http://schemas.microsoft.com/office/drawing/2014/main" id="{6A65A53C-57D0-4870-83A3-3525CCEC5589}"/>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2" name="Text 13321">
          <a:extLst>
            <a:ext uri="{FF2B5EF4-FFF2-40B4-BE49-F238E27FC236}">
              <a16:creationId xmlns:a16="http://schemas.microsoft.com/office/drawing/2014/main" id="{D1ADC1BA-7591-43B1-A6CC-50DF6A2145F7}"/>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3" name="Text 13322">
          <a:extLst>
            <a:ext uri="{FF2B5EF4-FFF2-40B4-BE49-F238E27FC236}">
              <a16:creationId xmlns:a16="http://schemas.microsoft.com/office/drawing/2014/main" id="{A2C75FD9-9DB2-4986-8142-CD29C6B5FE7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4" name="Text 13323">
          <a:extLst>
            <a:ext uri="{FF2B5EF4-FFF2-40B4-BE49-F238E27FC236}">
              <a16:creationId xmlns:a16="http://schemas.microsoft.com/office/drawing/2014/main" id="{7CC00203-8F5E-4860-ADF7-4651ABA779D0}"/>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5" name="Text 13324">
          <a:extLst>
            <a:ext uri="{FF2B5EF4-FFF2-40B4-BE49-F238E27FC236}">
              <a16:creationId xmlns:a16="http://schemas.microsoft.com/office/drawing/2014/main" id="{EF4684EF-05AF-457A-956D-B105CD4B00C4}"/>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6" name="Text 13325">
          <a:extLst>
            <a:ext uri="{FF2B5EF4-FFF2-40B4-BE49-F238E27FC236}">
              <a16:creationId xmlns:a16="http://schemas.microsoft.com/office/drawing/2014/main" id="{03BD280E-35A7-4FE3-87AF-9295BB6DE1B9}"/>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7" name="Text 13326">
          <a:extLst>
            <a:ext uri="{FF2B5EF4-FFF2-40B4-BE49-F238E27FC236}">
              <a16:creationId xmlns:a16="http://schemas.microsoft.com/office/drawing/2014/main" id="{8F287404-45AD-43FC-A8CD-0C3A25328C4A}"/>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8" name="Text 13327">
          <a:extLst>
            <a:ext uri="{FF2B5EF4-FFF2-40B4-BE49-F238E27FC236}">
              <a16:creationId xmlns:a16="http://schemas.microsoft.com/office/drawing/2014/main" id="{CDCD037A-6226-480D-A9B9-902560CF14B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79" name="Text 13328">
          <a:extLst>
            <a:ext uri="{FF2B5EF4-FFF2-40B4-BE49-F238E27FC236}">
              <a16:creationId xmlns:a16="http://schemas.microsoft.com/office/drawing/2014/main" id="{D57B29AC-94F7-496F-8C88-D7911B5CDDA0}"/>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80" name="Text 13329">
          <a:extLst>
            <a:ext uri="{FF2B5EF4-FFF2-40B4-BE49-F238E27FC236}">
              <a16:creationId xmlns:a16="http://schemas.microsoft.com/office/drawing/2014/main" id="{19F50CD5-05E0-4A07-862C-34800DF1A64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81" name="Text 13330">
          <a:extLst>
            <a:ext uri="{FF2B5EF4-FFF2-40B4-BE49-F238E27FC236}">
              <a16:creationId xmlns:a16="http://schemas.microsoft.com/office/drawing/2014/main" id="{CEE3F375-E658-4C9E-94A3-1CAFD8E7C94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82" name="Text 13331">
          <a:extLst>
            <a:ext uri="{FF2B5EF4-FFF2-40B4-BE49-F238E27FC236}">
              <a16:creationId xmlns:a16="http://schemas.microsoft.com/office/drawing/2014/main" id="{506849E8-01C8-481B-872A-CEF94124D35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141</xdr:row>
      <xdr:rowOff>0</xdr:rowOff>
    </xdr:from>
    <xdr:to>
      <xdr:col>2</xdr:col>
      <xdr:colOff>2019300</xdr:colOff>
      <xdr:row>142</xdr:row>
      <xdr:rowOff>19050</xdr:rowOff>
    </xdr:to>
    <xdr:sp macro="" textlink="">
      <xdr:nvSpPr>
        <xdr:cNvPr id="183" name="Text 13332">
          <a:extLst>
            <a:ext uri="{FF2B5EF4-FFF2-40B4-BE49-F238E27FC236}">
              <a16:creationId xmlns:a16="http://schemas.microsoft.com/office/drawing/2014/main" id="{73DE3007-F551-4355-BD11-F47433BB2114}"/>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4" name="Text Box 679">
          <a:extLst>
            <a:ext uri="{FF2B5EF4-FFF2-40B4-BE49-F238E27FC236}">
              <a16:creationId xmlns:a16="http://schemas.microsoft.com/office/drawing/2014/main" id="{12884315-592F-4683-B6F6-77EAE102790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5" name="Text Box 680">
          <a:extLst>
            <a:ext uri="{FF2B5EF4-FFF2-40B4-BE49-F238E27FC236}">
              <a16:creationId xmlns:a16="http://schemas.microsoft.com/office/drawing/2014/main" id="{1CB5A11D-86E8-46C5-92CD-211C424B6DC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6" name="Text Box 681">
          <a:extLst>
            <a:ext uri="{FF2B5EF4-FFF2-40B4-BE49-F238E27FC236}">
              <a16:creationId xmlns:a16="http://schemas.microsoft.com/office/drawing/2014/main" id="{6535FB82-AAB5-4B12-B78D-18B3E68EC68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7" name="Text Box 682">
          <a:extLst>
            <a:ext uri="{FF2B5EF4-FFF2-40B4-BE49-F238E27FC236}">
              <a16:creationId xmlns:a16="http://schemas.microsoft.com/office/drawing/2014/main" id="{AFBAE070-616E-45E4-A866-E66B61D5068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8" name="Text Box 683">
          <a:extLst>
            <a:ext uri="{FF2B5EF4-FFF2-40B4-BE49-F238E27FC236}">
              <a16:creationId xmlns:a16="http://schemas.microsoft.com/office/drawing/2014/main" id="{9CBF73A8-9BAB-45C5-BE23-A0D7906FECAA}"/>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89" name="Text Box 684">
          <a:extLst>
            <a:ext uri="{FF2B5EF4-FFF2-40B4-BE49-F238E27FC236}">
              <a16:creationId xmlns:a16="http://schemas.microsoft.com/office/drawing/2014/main" id="{301EC222-C597-414F-AA9F-88B609178E0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0" name="Text Box 685">
          <a:extLst>
            <a:ext uri="{FF2B5EF4-FFF2-40B4-BE49-F238E27FC236}">
              <a16:creationId xmlns:a16="http://schemas.microsoft.com/office/drawing/2014/main" id="{DA423C11-7A12-4592-8B97-CA590EF7F82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1" name="Text Box 686">
          <a:extLst>
            <a:ext uri="{FF2B5EF4-FFF2-40B4-BE49-F238E27FC236}">
              <a16:creationId xmlns:a16="http://schemas.microsoft.com/office/drawing/2014/main" id="{06768B57-544D-45F5-9650-E8758DCA0E5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2" name="Text Box 687">
          <a:extLst>
            <a:ext uri="{FF2B5EF4-FFF2-40B4-BE49-F238E27FC236}">
              <a16:creationId xmlns:a16="http://schemas.microsoft.com/office/drawing/2014/main" id="{5E1F76D5-9953-4E14-990A-324BE20DDAD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3" name="Text Box 688">
          <a:extLst>
            <a:ext uri="{FF2B5EF4-FFF2-40B4-BE49-F238E27FC236}">
              <a16:creationId xmlns:a16="http://schemas.microsoft.com/office/drawing/2014/main" id="{58251489-532D-4CD2-B7C9-D3AC4DDC2C56}"/>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4" name="Text Box 689">
          <a:extLst>
            <a:ext uri="{FF2B5EF4-FFF2-40B4-BE49-F238E27FC236}">
              <a16:creationId xmlns:a16="http://schemas.microsoft.com/office/drawing/2014/main" id="{5488EC79-667E-473B-9074-D4391F9276E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5" name="Text Box 690">
          <a:extLst>
            <a:ext uri="{FF2B5EF4-FFF2-40B4-BE49-F238E27FC236}">
              <a16:creationId xmlns:a16="http://schemas.microsoft.com/office/drawing/2014/main" id="{1E4FDE24-CA20-44D5-8CD7-1973231B095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6" name="Text Box 691">
          <a:extLst>
            <a:ext uri="{FF2B5EF4-FFF2-40B4-BE49-F238E27FC236}">
              <a16:creationId xmlns:a16="http://schemas.microsoft.com/office/drawing/2014/main" id="{3D01DBF3-83B5-4943-965A-2E601985B360}"/>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7" name="Text Box 692">
          <a:extLst>
            <a:ext uri="{FF2B5EF4-FFF2-40B4-BE49-F238E27FC236}">
              <a16:creationId xmlns:a16="http://schemas.microsoft.com/office/drawing/2014/main" id="{AF246757-1048-446A-A8DC-9908B70C6DF0}"/>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8" name="Text Box 693">
          <a:extLst>
            <a:ext uri="{FF2B5EF4-FFF2-40B4-BE49-F238E27FC236}">
              <a16:creationId xmlns:a16="http://schemas.microsoft.com/office/drawing/2014/main" id="{C6E46213-51D2-4AF6-8416-D4E9B53A3F9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199" name="Text Box 694">
          <a:extLst>
            <a:ext uri="{FF2B5EF4-FFF2-40B4-BE49-F238E27FC236}">
              <a16:creationId xmlns:a16="http://schemas.microsoft.com/office/drawing/2014/main" id="{2332EEDD-FE28-4441-B685-97A690FE95B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00" name="Text Box 695">
          <a:extLst>
            <a:ext uri="{FF2B5EF4-FFF2-40B4-BE49-F238E27FC236}">
              <a16:creationId xmlns:a16="http://schemas.microsoft.com/office/drawing/2014/main" id="{A5BE9E73-83DC-429E-A825-D99F44865D6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01" name="Text Box 696">
          <a:extLst>
            <a:ext uri="{FF2B5EF4-FFF2-40B4-BE49-F238E27FC236}">
              <a16:creationId xmlns:a16="http://schemas.microsoft.com/office/drawing/2014/main" id="{23C0D4BE-4F0E-48F6-9895-B4789729A62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2" name="Text Box 697">
          <a:extLst>
            <a:ext uri="{FF2B5EF4-FFF2-40B4-BE49-F238E27FC236}">
              <a16:creationId xmlns:a16="http://schemas.microsoft.com/office/drawing/2014/main" id="{77155F78-9D40-46FD-9089-9C343A2F68B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3" name="Text Box 698">
          <a:extLst>
            <a:ext uri="{FF2B5EF4-FFF2-40B4-BE49-F238E27FC236}">
              <a16:creationId xmlns:a16="http://schemas.microsoft.com/office/drawing/2014/main" id="{C51C52E2-3E79-41CE-AB24-5EE32AF2078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4" name="Text Box 699">
          <a:extLst>
            <a:ext uri="{FF2B5EF4-FFF2-40B4-BE49-F238E27FC236}">
              <a16:creationId xmlns:a16="http://schemas.microsoft.com/office/drawing/2014/main" id="{BA8A80A3-465A-4E0F-B597-489F184569B0}"/>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5" name="Text Box 700">
          <a:extLst>
            <a:ext uri="{FF2B5EF4-FFF2-40B4-BE49-F238E27FC236}">
              <a16:creationId xmlns:a16="http://schemas.microsoft.com/office/drawing/2014/main" id="{F1579C11-AED8-4298-B922-65B15DDC73EB}"/>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6" name="Text Box 701">
          <a:extLst>
            <a:ext uri="{FF2B5EF4-FFF2-40B4-BE49-F238E27FC236}">
              <a16:creationId xmlns:a16="http://schemas.microsoft.com/office/drawing/2014/main" id="{59F15A2C-E3F5-4E0E-96EF-84CF9E48AC9A}"/>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7" name="Text Box 702">
          <a:extLst>
            <a:ext uri="{FF2B5EF4-FFF2-40B4-BE49-F238E27FC236}">
              <a16:creationId xmlns:a16="http://schemas.microsoft.com/office/drawing/2014/main" id="{9A5FBA06-15CE-41DD-8783-678C0378CBAE}"/>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8" name="Text Box 703">
          <a:extLst>
            <a:ext uri="{FF2B5EF4-FFF2-40B4-BE49-F238E27FC236}">
              <a16:creationId xmlns:a16="http://schemas.microsoft.com/office/drawing/2014/main" id="{2C655FCE-4804-42AF-B069-71CF01E4A8C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09" name="Text Box 704">
          <a:extLst>
            <a:ext uri="{FF2B5EF4-FFF2-40B4-BE49-F238E27FC236}">
              <a16:creationId xmlns:a16="http://schemas.microsoft.com/office/drawing/2014/main" id="{CE0C1C21-6B15-485E-9C97-C0954959456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0" name="Text Box 705">
          <a:extLst>
            <a:ext uri="{FF2B5EF4-FFF2-40B4-BE49-F238E27FC236}">
              <a16:creationId xmlns:a16="http://schemas.microsoft.com/office/drawing/2014/main" id="{B983CDB2-FCBA-4E0D-BD4E-D86E39CBC3DB}"/>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1" name="Text Box 706">
          <a:extLst>
            <a:ext uri="{FF2B5EF4-FFF2-40B4-BE49-F238E27FC236}">
              <a16:creationId xmlns:a16="http://schemas.microsoft.com/office/drawing/2014/main" id="{E18C5C52-3CF0-46C0-9154-4B0A360F0F7B}"/>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2" name="Text Box 707">
          <a:extLst>
            <a:ext uri="{FF2B5EF4-FFF2-40B4-BE49-F238E27FC236}">
              <a16:creationId xmlns:a16="http://schemas.microsoft.com/office/drawing/2014/main" id="{88169355-8B3C-452A-9078-F8D1D3316FF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3" name="Text Box 708">
          <a:extLst>
            <a:ext uri="{FF2B5EF4-FFF2-40B4-BE49-F238E27FC236}">
              <a16:creationId xmlns:a16="http://schemas.microsoft.com/office/drawing/2014/main" id="{981B75E9-1087-402A-9DD6-667F5D908D4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4" name="Text Box 709">
          <a:extLst>
            <a:ext uri="{FF2B5EF4-FFF2-40B4-BE49-F238E27FC236}">
              <a16:creationId xmlns:a16="http://schemas.microsoft.com/office/drawing/2014/main" id="{640C19A9-FF9A-4EEB-ABA0-10EE1DC35D60}"/>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5" name="Text Box 710">
          <a:extLst>
            <a:ext uri="{FF2B5EF4-FFF2-40B4-BE49-F238E27FC236}">
              <a16:creationId xmlns:a16="http://schemas.microsoft.com/office/drawing/2014/main" id="{4AB1AE80-1A55-45A3-9563-403F8F4091A2}"/>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6" name="Text Box 711">
          <a:extLst>
            <a:ext uri="{FF2B5EF4-FFF2-40B4-BE49-F238E27FC236}">
              <a16:creationId xmlns:a16="http://schemas.microsoft.com/office/drawing/2014/main" id="{88C91989-7EA2-4F3F-8EBB-139C76A0A6B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7" name="Text Box 712">
          <a:extLst>
            <a:ext uri="{FF2B5EF4-FFF2-40B4-BE49-F238E27FC236}">
              <a16:creationId xmlns:a16="http://schemas.microsoft.com/office/drawing/2014/main" id="{1B878FC8-8024-4AF6-B305-A6241A87065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8" name="Text Box 713">
          <a:extLst>
            <a:ext uri="{FF2B5EF4-FFF2-40B4-BE49-F238E27FC236}">
              <a16:creationId xmlns:a16="http://schemas.microsoft.com/office/drawing/2014/main" id="{BEE6C28E-EE28-4351-A02A-3FCBBD19BB17}"/>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19" name="Text Box 714">
          <a:extLst>
            <a:ext uri="{FF2B5EF4-FFF2-40B4-BE49-F238E27FC236}">
              <a16:creationId xmlns:a16="http://schemas.microsoft.com/office/drawing/2014/main" id="{4E2D1238-0DF8-43CC-96A1-BA2542836CAE}"/>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0" name="Text Box 715">
          <a:extLst>
            <a:ext uri="{FF2B5EF4-FFF2-40B4-BE49-F238E27FC236}">
              <a16:creationId xmlns:a16="http://schemas.microsoft.com/office/drawing/2014/main" id="{CC82EC28-1F12-4A8B-BB53-37B0719030B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1" name="Text Box 716">
          <a:extLst>
            <a:ext uri="{FF2B5EF4-FFF2-40B4-BE49-F238E27FC236}">
              <a16:creationId xmlns:a16="http://schemas.microsoft.com/office/drawing/2014/main" id="{28B2BF97-DE82-4360-8B9C-79976ACD8B8B}"/>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2" name="Text Box 717">
          <a:extLst>
            <a:ext uri="{FF2B5EF4-FFF2-40B4-BE49-F238E27FC236}">
              <a16:creationId xmlns:a16="http://schemas.microsoft.com/office/drawing/2014/main" id="{D6780349-F378-4185-9F5E-8F4D9BD45D2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3" name="Text Box 718">
          <a:extLst>
            <a:ext uri="{FF2B5EF4-FFF2-40B4-BE49-F238E27FC236}">
              <a16:creationId xmlns:a16="http://schemas.microsoft.com/office/drawing/2014/main" id="{4625CA19-3EB8-4C4C-A618-F23E76ABC897}"/>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4" name="Text Box 719">
          <a:extLst>
            <a:ext uri="{FF2B5EF4-FFF2-40B4-BE49-F238E27FC236}">
              <a16:creationId xmlns:a16="http://schemas.microsoft.com/office/drawing/2014/main" id="{D5DD32D1-0AF0-4597-8025-73404659B55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5" name="Text Box 720">
          <a:extLst>
            <a:ext uri="{FF2B5EF4-FFF2-40B4-BE49-F238E27FC236}">
              <a16:creationId xmlns:a16="http://schemas.microsoft.com/office/drawing/2014/main" id="{78ED0098-8C79-4449-B4BE-9C912B33C893}"/>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6" name="Text Box 721">
          <a:extLst>
            <a:ext uri="{FF2B5EF4-FFF2-40B4-BE49-F238E27FC236}">
              <a16:creationId xmlns:a16="http://schemas.microsoft.com/office/drawing/2014/main" id="{58C026F5-8EB4-4B3E-919E-BFA9C40ED599}"/>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7" name="Text Box 722">
          <a:extLst>
            <a:ext uri="{FF2B5EF4-FFF2-40B4-BE49-F238E27FC236}">
              <a16:creationId xmlns:a16="http://schemas.microsoft.com/office/drawing/2014/main" id="{B4290E69-F60C-4305-9505-FD1C32A600A3}"/>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8" name="Text Box 723">
          <a:extLst>
            <a:ext uri="{FF2B5EF4-FFF2-40B4-BE49-F238E27FC236}">
              <a16:creationId xmlns:a16="http://schemas.microsoft.com/office/drawing/2014/main" id="{3EC6D500-33A7-4DB6-9E34-74CF493F9152}"/>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29" name="Text Box 724">
          <a:extLst>
            <a:ext uri="{FF2B5EF4-FFF2-40B4-BE49-F238E27FC236}">
              <a16:creationId xmlns:a16="http://schemas.microsoft.com/office/drawing/2014/main" id="{4F6D4B38-AC9D-40EA-AF65-93106483F3A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0" name="Text Box 725">
          <a:extLst>
            <a:ext uri="{FF2B5EF4-FFF2-40B4-BE49-F238E27FC236}">
              <a16:creationId xmlns:a16="http://schemas.microsoft.com/office/drawing/2014/main" id="{F1534639-F9D1-4C09-B5D5-06D3FDE3E44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1" name="Text Box 726">
          <a:extLst>
            <a:ext uri="{FF2B5EF4-FFF2-40B4-BE49-F238E27FC236}">
              <a16:creationId xmlns:a16="http://schemas.microsoft.com/office/drawing/2014/main" id="{91AD9EA4-CCB3-45EB-AD93-C3418CAEDF10}"/>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2" name="Text Box 727">
          <a:extLst>
            <a:ext uri="{FF2B5EF4-FFF2-40B4-BE49-F238E27FC236}">
              <a16:creationId xmlns:a16="http://schemas.microsoft.com/office/drawing/2014/main" id="{10201404-F923-4E88-92E1-D78D307A16C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3" name="Text Box 728">
          <a:extLst>
            <a:ext uri="{FF2B5EF4-FFF2-40B4-BE49-F238E27FC236}">
              <a16:creationId xmlns:a16="http://schemas.microsoft.com/office/drawing/2014/main" id="{DEC66552-15C0-40C7-9016-0F6E58E01E4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4" name="Text Box 729">
          <a:extLst>
            <a:ext uri="{FF2B5EF4-FFF2-40B4-BE49-F238E27FC236}">
              <a16:creationId xmlns:a16="http://schemas.microsoft.com/office/drawing/2014/main" id="{6EBA4A80-78E9-444B-83F8-C72A584EEBB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5" name="Text Box 730">
          <a:extLst>
            <a:ext uri="{FF2B5EF4-FFF2-40B4-BE49-F238E27FC236}">
              <a16:creationId xmlns:a16="http://schemas.microsoft.com/office/drawing/2014/main" id="{315C92E8-A4FC-4DAF-8B1F-9411AD8E893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6" name="Text Box 731">
          <a:extLst>
            <a:ext uri="{FF2B5EF4-FFF2-40B4-BE49-F238E27FC236}">
              <a16:creationId xmlns:a16="http://schemas.microsoft.com/office/drawing/2014/main" id="{23C44397-F1EF-4BEC-AA3D-C9075592600F}"/>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37" name="Text Box 732">
          <a:extLst>
            <a:ext uri="{FF2B5EF4-FFF2-40B4-BE49-F238E27FC236}">
              <a16:creationId xmlns:a16="http://schemas.microsoft.com/office/drawing/2014/main" id="{F8EFD67B-0430-49A2-BC54-27DA85B21C8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38" name="Text Box 733">
          <a:extLst>
            <a:ext uri="{FF2B5EF4-FFF2-40B4-BE49-F238E27FC236}">
              <a16:creationId xmlns:a16="http://schemas.microsoft.com/office/drawing/2014/main" id="{95EB280D-6E46-4550-9B31-4099A8DC469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39" name="Text Box 734">
          <a:extLst>
            <a:ext uri="{FF2B5EF4-FFF2-40B4-BE49-F238E27FC236}">
              <a16:creationId xmlns:a16="http://schemas.microsoft.com/office/drawing/2014/main" id="{4347C1AD-25DC-4810-9DFA-5BFEC40BAC6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0" name="Text Box 735">
          <a:extLst>
            <a:ext uri="{FF2B5EF4-FFF2-40B4-BE49-F238E27FC236}">
              <a16:creationId xmlns:a16="http://schemas.microsoft.com/office/drawing/2014/main" id="{AA864CE1-F328-4185-9DE3-648A1D040E4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1" name="Text Box 736">
          <a:extLst>
            <a:ext uri="{FF2B5EF4-FFF2-40B4-BE49-F238E27FC236}">
              <a16:creationId xmlns:a16="http://schemas.microsoft.com/office/drawing/2014/main" id="{1B3D5D17-B6F1-41D7-8CC4-81EFF6EA3A3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2" name="Text Box 737">
          <a:extLst>
            <a:ext uri="{FF2B5EF4-FFF2-40B4-BE49-F238E27FC236}">
              <a16:creationId xmlns:a16="http://schemas.microsoft.com/office/drawing/2014/main" id="{56D3A2C7-0B96-40A4-A5BC-163F2DB18EDF}"/>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3" name="Text Box 738">
          <a:extLst>
            <a:ext uri="{FF2B5EF4-FFF2-40B4-BE49-F238E27FC236}">
              <a16:creationId xmlns:a16="http://schemas.microsoft.com/office/drawing/2014/main" id="{9A1AB603-48BD-4DE6-A9D9-412C6EF8A77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4" name="Text Box 739">
          <a:extLst>
            <a:ext uri="{FF2B5EF4-FFF2-40B4-BE49-F238E27FC236}">
              <a16:creationId xmlns:a16="http://schemas.microsoft.com/office/drawing/2014/main" id="{20D0E2A8-7A00-4023-A02E-297484EB16C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5" name="Text Box 740">
          <a:extLst>
            <a:ext uri="{FF2B5EF4-FFF2-40B4-BE49-F238E27FC236}">
              <a16:creationId xmlns:a16="http://schemas.microsoft.com/office/drawing/2014/main" id="{D0CD18E2-83BD-41BA-AE15-CD698527A83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6" name="Text Box 741">
          <a:extLst>
            <a:ext uri="{FF2B5EF4-FFF2-40B4-BE49-F238E27FC236}">
              <a16:creationId xmlns:a16="http://schemas.microsoft.com/office/drawing/2014/main" id="{80A3073C-B1C1-48DD-8075-350A4B11A328}"/>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7" name="Text Box 742">
          <a:extLst>
            <a:ext uri="{FF2B5EF4-FFF2-40B4-BE49-F238E27FC236}">
              <a16:creationId xmlns:a16="http://schemas.microsoft.com/office/drawing/2014/main" id="{69AB9382-0508-4745-80EC-0200106FB8A0}"/>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8" name="Text Box 743">
          <a:extLst>
            <a:ext uri="{FF2B5EF4-FFF2-40B4-BE49-F238E27FC236}">
              <a16:creationId xmlns:a16="http://schemas.microsoft.com/office/drawing/2014/main" id="{EB89E131-D02E-4DF0-AAFE-3A7AA32906F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49" name="Text Box 744">
          <a:extLst>
            <a:ext uri="{FF2B5EF4-FFF2-40B4-BE49-F238E27FC236}">
              <a16:creationId xmlns:a16="http://schemas.microsoft.com/office/drawing/2014/main" id="{BB2668C9-1D7F-40B6-A958-BF9BDE959588}"/>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0" name="Text Box 745">
          <a:extLst>
            <a:ext uri="{FF2B5EF4-FFF2-40B4-BE49-F238E27FC236}">
              <a16:creationId xmlns:a16="http://schemas.microsoft.com/office/drawing/2014/main" id="{657D1B70-F5B1-48C5-AB9D-C3194D68298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1" name="Text Box 746">
          <a:extLst>
            <a:ext uri="{FF2B5EF4-FFF2-40B4-BE49-F238E27FC236}">
              <a16:creationId xmlns:a16="http://schemas.microsoft.com/office/drawing/2014/main" id="{C1B55161-8A04-4F2D-894D-E131F296BC3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2" name="Text Box 747">
          <a:extLst>
            <a:ext uri="{FF2B5EF4-FFF2-40B4-BE49-F238E27FC236}">
              <a16:creationId xmlns:a16="http://schemas.microsoft.com/office/drawing/2014/main" id="{4F5F4D58-8585-4CFB-BE98-2BBB7A9A1D6E}"/>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3" name="Text Box 748">
          <a:extLst>
            <a:ext uri="{FF2B5EF4-FFF2-40B4-BE49-F238E27FC236}">
              <a16:creationId xmlns:a16="http://schemas.microsoft.com/office/drawing/2014/main" id="{8F1C8729-6190-4C29-8119-FB53AE404A5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4" name="Text Box 749">
          <a:extLst>
            <a:ext uri="{FF2B5EF4-FFF2-40B4-BE49-F238E27FC236}">
              <a16:creationId xmlns:a16="http://schemas.microsoft.com/office/drawing/2014/main" id="{7AD2FC13-5BAF-42EA-B559-506503C9339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55" name="Text Box 750">
          <a:extLst>
            <a:ext uri="{FF2B5EF4-FFF2-40B4-BE49-F238E27FC236}">
              <a16:creationId xmlns:a16="http://schemas.microsoft.com/office/drawing/2014/main" id="{4C050578-5A9A-4B17-9E71-9CC85B2DE57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56" name="Text Box 751">
          <a:extLst>
            <a:ext uri="{FF2B5EF4-FFF2-40B4-BE49-F238E27FC236}">
              <a16:creationId xmlns:a16="http://schemas.microsoft.com/office/drawing/2014/main" id="{10B406E9-FD80-4E6B-A896-F78A410BA06A}"/>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57" name="Text Box 752">
          <a:extLst>
            <a:ext uri="{FF2B5EF4-FFF2-40B4-BE49-F238E27FC236}">
              <a16:creationId xmlns:a16="http://schemas.microsoft.com/office/drawing/2014/main" id="{2E8FB433-04E9-4E87-90E2-3EC0EE8D3489}"/>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58" name="Text Box 753">
          <a:extLst>
            <a:ext uri="{FF2B5EF4-FFF2-40B4-BE49-F238E27FC236}">
              <a16:creationId xmlns:a16="http://schemas.microsoft.com/office/drawing/2014/main" id="{27413EE8-F802-4474-887B-8C2679B2F6D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59" name="Text Box 754">
          <a:extLst>
            <a:ext uri="{FF2B5EF4-FFF2-40B4-BE49-F238E27FC236}">
              <a16:creationId xmlns:a16="http://schemas.microsoft.com/office/drawing/2014/main" id="{55304B71-5309-4B6D-83EF-C4694C0042A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0" name="Text Box 755">
          <a:extLst>
            <a:ext uri="{FF2B5EF4-FFF2-40B4-BE49-F238E27FC236}">
              <a16:creationId xmlns:a16="http://schemas.microsoft.com/office/drawing/2014/main" id="{430443E3-015A-4241-9CDC-31C9231E900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1" name="Text Box 756">
          <a:extLst>
            <a:ext uri="{FF2B5EF4-FFF2-40B4-BE49-F238E27FC236}">
              <a16:creationId xmlns:a16="http://schemas.microsoft.com/office/drawing/2014/main" id="{AF8D483D-7E0B-4098-81F0-B4DA44D02B3B}"/>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2" name="Text Box 757">
          <a:extLst>
            <a:ext uri="{FF2B5EF4-FFF2-40B4-BE49-F238E27FC236}">
              <a16:creationId xmlns:a16="http://schemas.microsoft.com/office/drawing/2014/main" id="{FC3A63A6-F3DC-43AA-ACB8-0ACE71270A09}"/>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3" name="Text Box 758">
          <a:extLst>
            <a:ext uri="{FF2B5EF4-FFF2-40B4-BE49-F238E27FC236}">
              <a16:creationId xmlns:a16="http://schemas.microsoft.com/office/drawing/2014/main" id="{03FFE9E8-27E8-460E-A086-D39E834B757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4" name="Text Box 759">
          <a:extLst>
            <a:ext uri="{FF2B5EF4-FFF2-40B4-BE49-F238E27FC236}">
              <a16:creationId xmlns:a16="http://schemas.microsoft.com/office/drawing/2014/main" id="{842F4A3B-2758-4B10-8F73-25DC78171781}"/>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5" name="Text Box 760">
          <a:extLst>
            <a:ext uri="{FF2B5EF4-FFF2-40B4-BE49-F238E27FC236}">
              <a16:creationId xmlns:a16="http://schemas.microsoft.com/office/drawing/2014/main" id="{5E18BF59-6801-43CA-A57E-F04C03A50FE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6" name="Text Box 761">
          <a:extLst>
            <a:ext uri="{FF2B5EF4-FFF2-40B4-BE49-F238E27FC236}">
              <a16:creationId xmlns:a16="http://schemas.microsoft.com/office/drawing/2014/main" id="{5805F302-D63E-4A66-8B41-D7A930B405F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7" name="Text Box 762">
          <a:extLst>
            <a:ext uri="{FF2B5EF4-FFF2-40B4-BE49-F238E27FC236}">
              <a16:creationId xmlns:a16="http://schemas.microsoft.com/office/drawing/2014/main" id="{88FD128B-7CEC-464C-A9A0-6D0443FAB0F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8" name="Text Box 763">
          <a:extLst>
            <a:ext uri="{FF2B5EF4-FFF2-40B4-BE49-F238E27FC236}">
              <a16:creationId xmlns:a16="http://schemas.microsoft.com/office/drawing/2014/main" id="{DB73B8BE-6585-4FA0-B275-AB848F8EDF97}"/>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69" name="Text Box 764">
          <a:extLst>
            <a:ext uri="{FF2B5EF4-FFF2-40B4-BE49-F238E27FC236}">
              <a16:creationId xmlns:a16="http://schemas.microsoft.com/office/drawing/2014/main" id="{73E270AA-8110-49C0-9735-BB44AF9D5CE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0" name="Text Box 765">
          <a:extLst>
            <a:ext uri="{FF2B5EF4-FFF2-40B4-BE49-F238E27FC236}">
              <a16:creationId xmlns:a16="http://schemas.microsoft.com/office/drawing/2014/main" id="{68C987C4-8F7D-41E0-82DF-4A527A53A223}"/>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1" name="Text Box 766">
          <a:extLst>
            <a:ext uri="{FF2B5EF4-FFF2-40B4-BE49-F238E27FC236}">
              <a16:creationId xmlns:a16="http://schemas.microsoft.com/office/drawing/2014/main" id="{75BFCA52-0D17-4F3D-B1A5-E7A35E6667A8}"/>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2" name="Text Box 767">
          <a:extLst>
            <a:ext uri="{FF2B5EF4-FFF2-40B4-BE49-F238E27FC236}">
              <a16:creationId xmlns:a16="http://schemas.microsoft.com/office/drawing/2014/main" id="{088BEA46-C3F9-4B35-A43B-7F5EFE3DA9CA}"/>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3" name="Text Box 768">
          <a:extLst>
            <a:ext uri="{FF2B5EF4-FFF2-40B4-BE49-F238E27FC236}">
              <a16:creationId xmlns:a16="http://schemas.microsoft.com/office/drawing/2014/main" id="{E0DAF549-0679-4951-BAC2-FD67ED731E8C}"/>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4" name="Text Box 769">
          <a:extLst>
            <a:ext uri="{FF2B5EF4-FFF2-40B4-BE49-F238E27FC236}">
              <a16:creationId xmlns:a16="http://schemas.microsoft.com/office/drawing/2014/main" id="{46A68B7E-EEED-475A-B03D-F16E7BA96AE9}"/>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5" name="Text Box 770">
          <a:extLst>
            <a:ext uri="{FF2B5EF4-FFF2-40B4-BE49-F238E27FC236}">
              <a16:creationId xmlns:a16="http://schemas.microsoft.com/office/drawing/2014/main" id="{20ECB798-F194-4C39-9B2F-E25CA27EB50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6" name="Text Box 771">
          <a:extLst>
            <a:ext uri="{FF2B5EF4-FFF2-40B4-BE49-F238E27FC236}">
              <a16:creationId xmlns:a16="http://schemas.microsoft.com/office/drawing/2014/main" id="{4978662A-B2D1-4D82-9EF4-43E7EAD66531}"/>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7" name="Text Box 772">
          <a:extLst>
            <a:ext uri="{FF2B5EF4-FFF2-40B4-BE49-F238E27FC236}">
              <a16:creationId xmlns:a16="http://schemas.microsoft.com/office/drawing/2014/main" id="{E4EB2942-B993-4AA3-A8DC-EC05781AE818}"/>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8" name="Text Box 773">
          <a:extLst>
            <a:ext uri="{FF2B5EF4-FFF2-40B4-BE49-F238E27FC236}">
              <a16:creationId xmlns:a16="http://schemas.microsoft.com/office/drawing/2014/main" id="{91477A13-51A1-4003-A9A7-2801F8B02336}"/>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79" name="Text Box 774">
          <a:extLst>
            <a:ext uri="{FF2B5EF4-FFF2-40B4-BE49-F238E27FC236}">
              <a16:creationId xmlns:a16="http://schemas.microsoft.com/office/drawing/2014/main" id="{88ED15CE-9D4C-4D57-BA87-F41A9C8EE5B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0" name="Text Box 775">
          <a:extLst>
            <a:ext uri="{FF2B5EF4-FFF2-40B4-BE49-F238E27FC236}">
              <a16:creationId xmlns:a16="http://schemas.microsoft.com/office/drawing/2014/main" id="{11B01CF5-EE82-4C7E-8579-ADCB54C84052}"/>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1" name="Text Box 776">
          <a:extLst>
            <a:ext uri="{FF2B5EF4-FFF2-40B4-BE49-F238E27FC236}">
              <a16:creationId xmlns:a16="http://schemas.microsoft.com/office/drawing/2014/main" id="{90AAF270-4EE7-4EC5-917E-A795CE1A84C3}"/>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2" name="Text Box 777">
          <a:extLst>
            <a:ext uri="{FF2B5EF4-FFF2-40B4-BE49-F238E27FC236}">
              <a16:creationId xmlns:a16="http://schemas.microsoft.com/office/drawing/2014/main" id="{E1322462-BBC2-4871-AF6B-DB9030CA2BA7}"/>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3" name="Text Box 778">
          <a:extLst>
            <a:ext uri="{FF2B5EF4-FFF2-40B4-BE49-F238E27FC236}">
              <a16:creationId xmlns:a16="http://schemas.microsoft.com/office/drawing/2014/main" id="{28666554-A230-4AF5-84E2-02C583F4D34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4" name="Text Box 779">
          <a:extLst>
            <a:ext uri="{FF2B5EF4-FFF2-40B4-BE49-F238E27FC236}">
              <a16:creationId xmlns:a16="http://schemas.microsoft.com/office/drawing/2014/main" id="{9A46F107-D6DD-4CD0-8236-FE1B542708D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5" name="Text Box 780">
          <a:extLst>
            <a:ext uri="{FF2B5EF4-FFF2-40B4-BE49-F238E27FC236}">
              <a16:creationId xmlns:a16="http://schemas.microsoft.com/office/drawing/2014/main" id="{4F03DBF4-2E6B-4285-BAB5-583DE85BC980}"/>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6" name="Text Box 781">
          <a:extLst>
            <a:ext uri="{FF2B5EF4-FFF2-40B4-BE49-F238E27FC236}">
              <a16:creationId xmlns:a16="http://schemas.microsoft.com/office/drawing/2014/main" id="{6090D3AD-7284-450E-8D71-40BA3C6BA01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7" name="Text Box 782">
          <a:extLst>
            <a:ext uri="{FF2B5EF4-FFF2-40B4-BE49-F238E27FC236}">
              <a16:creationId xmlns:a16="http://schemas.microsoft.com/office/drawing/2014/main" id="{E117FF12-393F-4D51-B7AC-6EE628A33E3D}"/>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8" name="Text Box 783">
          <a:extLst>
            <a:ext uri="{FF2B5EF4-FFF2-40B4-BE49-F238E27FC236}">
              <a16:creationId xmlns:a16="http://schemas.microsoft.com/office/drawing/2014/main" id="{D59486E3-E18F-48C1-B493-62F108103033}"/>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89" name="Text Box 784">
          <a:extLst>
            <a:ext uri="{FF2B5EF4-FFF2-40B4-BE49-F238E27FC236}">
              <a16:creationId xmlns:a16="http://schemas.microsoft.com/office/drawing/2014/main" id="{EC93557F-FD60-4E94-9411-30EC1EF65345}"/>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90" name="Text Box 785">
          <a:extLst>
            <a:ext uri="{FF2B5EF4-FFF2-40B4-BE49-F238E27FC236}">
              <a16:creationId xmlns:a16="http://schemas.microsoft.com/office/drawing/2014/main" id="{484C07DA-59A4-4494-BD30-B9D32B36EDF9}"/>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145</xdr:row>
      <xdr:rowOff>67233</xdr:rowOff>
    </xdr:to>
    <xdr:sp macro="" textlink="">
      <xdr:nvSpPr>
        <xdr:cNvPr id="291" name="Text Box 786">
          <a:extLst>
            <a:ext uri="{FF2B5EF4-FFF2-40B4-BE49-F238E27FC236}">
              <a16:creationId xmlns:a16="http://schemas.microsoft.com/office/drawing/2014/main" id="{1F915046-4CF6-47D6-AC98-3582EF25A1C4}"/>
            </a:ext>
          </a:extLst>
        </xdr:cNvPr>
        <xdr:cNvSpPr txBox="1">
          <a:spLocks noChangeArrowheads="1"/>
        </xdr:cNvSpPr>
      </xdr:nvSpPr>
      <xdr:spPr bwMode="auto">
        <a:xfrm>
          <a:off x="2781300" y="28413075"/>
          <a:ext cx="0" cy="391083"/>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2" name="Text Box 787">
          <a:extLst>
            <a:ext uri="{FF2B5EF4-FFF2-40B4-BE49-F238E27FC236}">
              <a16:creationId xmlns:a16="http://schemas.microsoft.com/office/drawing/2014/main" id="{E8E8BF37-4D66-4A13-A444-546DFD4CE61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3" name="Text Box 788">
          <a:extLst>
            <a:ext uri="{FF2B5EF4-FFF2-40B4-BE49-F238E27FC236}">
              <a16:creationId xmlns:a16="http://schemas.microsoft.com/office/drawing/2014/main" id="{D87FADF4-8885-4779-AB2B-8B0CF326D26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4" name="Text Box 789">
          <a:extLst>
            <a:ext uri="{FF2B5EF4-FFF2-40B4-BE49-F238E27FC236}">
              <a16:creationId xmlns:a16="http://schemas.microsoft.com/office/drawing/2014/main" id="{8FBEC461-EDBB-4450-9381-CDDBF930F1D8}"/>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5" name="Text Box 790">
          <a:extLst>
            <a:ext uri="{FF2B5EF4-FFF2-40B4-BE49-F238E27FC236}">
              <a16:creationId xmlns:a16="http://schemas.microsoft.com/office/drawing/2014/main" id="{B2979736-2286-438F-8559-C2BC1A31924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6" name="Text Box 791">
          <a:extLst>
            <a:ext uri="{FF2B5EF4-FFF2-40B4-BE49-F238E27FC236}">
              <a16:creationId xmlns:a16="http://schemas.microsoft.com/office/drawing/2014/main" id="{FA90ED25-BCE8-4168-88AA-4F9F8865CEB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7" name="Text Box 792">
          <a:extLst>
            <a:ext uri="{FF2B5EF4-FFF2-40B4-BE49-F238E27FC236}">
              <a16:creationId xmlns:a16="http://schemas.microsoft.com/office/drawing/2014/main" id="{D7C8C369-E690-4408-ABEF-064ABF22DFC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8" name="Text Box 793">
          <a:extLst>
            <a:ext uri="{FF2B5EF4-FFF2-40B4-BE49-F238E27FC236}">
              <a16:creationId xmlns:a16="http://schemas.microsoft.com/office/drawing/2014/main" id="{A76B825F-0FE6-4A6A-B4A2-1AC6776FFD0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299" name="Text Box 794">
          <a:extLst>
            <a:ext uri="{FF2B5EF4-FFF2-40B4-BE49-F238E27FC236}">
              <a16:creationId xmlns:a16="http://schemas.microsoft.com/office/drawing/2014/main" id="{4A67D4B0-301B-4813-9717-8DA68E53CFF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0" name="Text Box 795">
          <a:extLst>
            <a:ext uri="{FF2B5EF4-FFF2-40B4-BE49-F238E27FC236}">
              <a16:creationId xmlns:a16="http://schemas.microsoft.com/office/drawing/2014/main" id="{773D0789-467E-4745-AEA1-9495A37A1116}"/>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1" name="Text Box 796">
          <a:extLst>
            <a:ext uri="{FF2B5EF4-FFF2-40B4-BE49-F238E27FC236}">
              <a16:creationId xmlns:a16="http://schemas.microsoft.com/office/drawing/2014/main" id="{975D21E0-CFBA-4908-8536-C3FA94AFC2B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2" name="Text Box 797">
          <a:extLst>
            <a:ext uri="{FF2B5EF4-FFF2-40B4-BE49-F238E27FC236}">
              <a16:creationId xmlns:a16="http://schemas.microsoft.com/office/drawing/2014/main" id="{F27CC692-A8EE-4B2E-BA48-346CCCD9C74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3" name="Text Box 798">
          <a:extLst>
            <a:ext uri="{FF2B5EF4-FFF2-40B4-BE49-F238E27FC236}">
              <a16:creationId xmlns:a16="http://schemas.microsoft.com/office/drawing/2014/main" id="{7AEDA4EE-4B5A-45AE-B81E-F0BD03ABF3F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4" name="Text Box 799">
          <a:extLst>
            <a:ext uri="{FF2B5EF4-FFF2-40B4-BE49-F238E27FC236}">
              <a16:creationId xmlns:a16="http://schemas.microsoft.com/office/drawing/2014/main" id="{1D00DB2C-D3FE-4E67-A13E-1481F1DF2DF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5" name="Text Box 800">
          <a:extLst>
            <a:ext uri="{FF2B5EF4-FFF2-40B4-BE49-F238E27FC236}">
              <a16:creationId xmlns:a16="http://schemas.microsoft.com/office/drawing/2014/main" id="{B9876C7B-88D8-4EAE-8B87-486FC203E49A}"/>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6" name="Text Box 801">
          <a:extLst>
            <a:ext uri="{FF2B5EF4-FFF2-40B4-BE49-F238E27FC236}">
              <a16:creationId xmlns:a16="http://schemas.microsoft.com/office/drawing/2014/main" id="{42EAFA51-3987-48BB-BFC6-7890E6FF249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7" name="Text Box 802">
          <a:extLst>
            <a:ext uri="{FF2B5EF4-FFF2-40B4-BE49-F238E27FC236}">
              <a16:creationId xmlns:a16="http://schemas.microsoft.com/office/drawing/2014/main" id="{EBC4E15B-1E4B-4229-B3E9-92FC3D84722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8" name="Text Box 803">
          <a:extLst>
            <a:ext uri="{FF2B5EF4-FFF2-40B4-BE49-F238E27FC236}">
              <a16:creationId xmlns:a16="http://schemas.microsoft.com/office/drawing/2014/main" id="{B9F2D7D7-935A-4F6F-896A-7792158F678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09" name="Text Box 804">
          <a:extLst>
            <a:ext uri="{FF2B5EF4-FFF2-40B4-BE49-F238E27FC236}">
              <a16:creationId xmlns:a16="http://schemas.microsoft.com/office/drawing/2014/main" id="{1DD82947-F6E8-4B79-989D-B84528E5A0EF}"/>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0" name="Text Box 805">
          <a:extLst>
            <a:ext uri="{FF2B5EF4-FFF2-40B4-BE49-F238E27FC236}">
              <a16:creationId xmlns:a16="http://schemas.microsoft.com/office/drawing/2014/main" id="{8D7ECD67-DAC0-477D-AA11-A38E3DA57F9A}"/>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1" name="Text Box 806">
          <a:extLst>
            <a:ext uri="{FF2B5EF4-FFF2-40B4-BE49-F238E27FC236}">
              <a16:creationId xmlns:a16="http://schemas.microsoft.com/office/drawing/2014/main" id="{0EAEFB50-D5F3-4634-81F7-45003CAA642E}"/>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2" name="Text Box 807">
          <a:extLst>
            <a:ext uri="{FF2B5EF4-FFF2-40B4-BE49-F238E27FC236}">
              <a16:creationId xmlns:a16="http://schemas.microsoft.com/office/drawing/2014/main" id="{9BC615EB-3956-429E-A167-14A0E512184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3" name="Text Box 808">
          <a:extLst>
            <a:ext uri="{FF2B5EF4-FFF2-40B4-BE49-F238E27FC236}">
              <a16:creationId xmlns:a16="http://schemas.microsoft.com/office/drawing/2014/main" id="{536B2EE3-D3B3-4647-A49D-A5D9864F869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4" name="Text Box 809">
          <a:extLst>
            <a:ext uri="{FF2B5EF4-FFF2-40B4-BE49-F238E27FC236}">
              <a16:creationId xmlns:a16="http://schemas.microsoft.com/office/drawing/2014/main" id="{F997CBBE-D4EC-43AD-A2E9-4EFC60DC336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5" name="Text Box 810">
          <a:extLst>
            <a:ext uri="{FF2B5EF4-FFF2-40B4-BE49-F238E27FC236}">
              <a16:creationId xmlns:a16="http://schemas.microsoft.com/office/drawing/2014/main" id="{1EA376C1-FF7B-443F-8C78-4F7EE9F8B63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6" name="Text Box 811">
          <a:extLst>
            <a:ext uri="{FF2B5EF4-FFF2-40B4-BE49-F238E27FC236}">
              <a16:creationId xmlns:a16="http://schemas.microsoft.com/office/drawing/2014/main" id="{E2173CC6-8D17-4FB1-9B28-985A28ABCD2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7" name="Text Box 812">
          <a:extLst>
            <a:ext uri="{FF2B5EF4-FFF2-40B4-BE49-F238E27FC236}">
              <a16:creationId xmlns:a16="http://schemas.microsoft.com/office/drawing/2014/main" id="{D785C911-1BB6-45D3-9E2E-9239F218F05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8" name="Text Box 813">
          <a:extLst>
            <a:ext uri="{FF2B5EF4-FFF2-40B4-BE49-F238E27FC236}">
              <a16:creationId xmlns:a16="http://schemas.microsoft.com/office/drawing/2014/main" id="{01420BE3-0FD5-448C-A5E2-AAF81DEEFE56}"/>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19" name="Text Box 814">
          <a:extLst>
            <a:ext uri="{FF2B5EF4-FFF2-40B4-BE49-F238E27FC236}">
              <a16:creationId xmlns:a16="http://schemas.microsoft.com/office/drawing/2014/main" id="{7FB41D1A-3828-4DA3-9E56-678A6C84D36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0" name="Text Box 815">
          <a:extLst>
            <a:ext uri="{FF2B5EF4-FFF2-40B4-BE49-F238E27FC236}">
              <a16:creationId xmlns:a16="http://schemas.microsoft.com/office/drawing/2014/main" id="{6111CDA3-2A4B-4692-9651-C425507832A4}"/>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1" name="Text Box 816">
          <a:extLst>
            <a:ext uri="{FF2B5EF4-FFF2-40B4-BE49-F238E27FC236}">
              <a16:creationId xmlns:a16="http://schemas.microsoft.com/office/drawing/2014/main" id="{976E3F90-01C6-4D04-9E9E-00047A13F44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2" name="Text Box 817">
          <a:extLst>
            <a:ext uri="{FF2B5EF4-FFF2-40B4-BE49-F238E27FC236}">
              <a16:creationId xmlns:a16="http://schemas.microsoft.com/office/drawing/2014/main" id="{28AF7B32-9C7E-4B4A-85D1-071623D1283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3" name="Text Box 818">
          <a:extLst>
            <a:ext uri="{FF2B5EF4-FFF2-40B4-BE49-F238E27FC236}">
              <a16:creationId xmlns:a16="http://schemas.microsoft.com/office/drawing/2014/main" id="{22A3C3CC-078B-462D-99C1-04A94E52D53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4" name="Text Box 819">
          <a:extLst>
            <a:ext uri="{FF2B5EF4-FFF2-40B4-BE49-F238E27FC236}">
              <a16:creationId xmlns:a16="http://schemas.microsoft.com/office/drawing/2014/main" id="{93E929E6-125F-406B-99BF-8B982BCB235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5" name="Text Box 820">
          <a:extLst>
            <a:ext uri="{FF2B5EF4-FFF2-40B4-BE49-F238E27FC236}">
              <a16:creationId xmlns:a16="http://schemas.microsoft.com/office/drawing/2014/main" id="{D3CBC837-A51A-4A77-93EE-D86C5CB2796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6" name="Text Box 821">
          <a:extLst>
            <a:ext uri="{FF2B5EF4-FFF2-40B4-BE49-F238E27FC236}">
              <a16:creationId xmlns:a16="http://schemas.microsoft.com/office/drawing/2014/main" id="{26FD9542-CD2B-4FB9-B298-D1306791083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7" name="Text Box 822">
          <a:extLst>
            <a:ext uri="{FF2B5EF4-FFF2-40B4-BE49-F238E27FC236}">
              <a16:creationId xmlns:a16="http://schemas.microsoft.com/office/drawing/2014/main" id="{0F49E9B2-C44D-4CD7-9D7A-320C213DD0C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8" name="Text Box 823">
          <a:extLst>
            <a:ext uri="{FF2B5EF4-FFF2-40B4-BE49-F238E27FC236}">
              <a16:creationId xmlns:a16="http://schemas.microsoft.com/office/drawing/2014/main" id="{F7D20583-03B9-4340-BC98-C06BAF92C7EF}"/>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29" name="Text Box 824">
          <a:extLst>
            <a:ext uri="{FF2B5EF4-FFF2-40B4-BE49-F238E27FC236}">
              <a16:creationId xmlns:a16="http://schemas.microsoft.com/office/drawing/2014/main" id="{8C6DACDF-DA72-46C7-BC8D-36D688E60C52}"/>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0" name="Text Box 825">
          <a:extLst>
            <a:ext uri="{FF2B5EF4-FFF2-40B4-BE49-F238E27FC236}">
              <a16:creationId xmlns:a16="http://schemas.microsoft.com/office/drawing/2014/main" id="{5A1BCAA5-F4E8-4F15-9442-305C5B9D2DB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1" name="Text Box 826">
          <a:extLst>
            <a:ext uri="{FF2B5EF4-FFF2-40B4-BE49-F238E27FC236}">
              <a16:creationId xmlns:a16="http://schemas.microsoft.com/office/drawing/2014/main" id="{EEEC8D66-A9E3-4011-BB4B-5818FA05C9DB}"/>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2" name="Text Box 827">
          <a:extLst>
            <a:ext uri="{FF2B5EF4-FFF2-40B4-BE49-F238E27FC236}">
              <a16:creationId xmlns:a16="http://schemas.microsoft.com/office/drawing/2014/main" id="{CEB8123D-FEB8-4007-8006-DFD19E2A32FE}"/>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3" name="Text Box 828">
          <a:extLst>
            <a:ext uri="{FF2B5EF4-FFF2-40B4-BE49-F238E27FC236}">
              <a16:creationId xmlns:a16="http://schemas.microsoft.com/office/drawing/2014/main" id="{A4E5BDE9-FC59-4FB3-8614-C3A3F987B0C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4" name="Text Box 829">
          <a:extLst>
            <a:ext uri="{FF2B5EF4-FFF2-40B4-BE49-F238E27FC236}">
              <a16:creationId xmlns:a16="http://schemas.microsoft.com/office/drawing/2014/main" id="{2948A249-42EE-4F80-9D4D-46B2D8B993A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5" name="Text Box 830">
          <a:extLst>
            <a:ext uri="{FF2B5EF4-FFF2-40B4-BE49-F238E27FC236}">
              <a16:creationId xmlns:a16="http://schemas.microsoft.com/office/drawing/2014/main" id="{21578557-8EC0-4F1B-942B-3FBBB82D1AF5}"/>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6" name="Text Box 831">
          <a:extLst>
            <a:ext uri="{FF2B5EF4-FFF2-40B4-BE49-F238E27FC236}">
              <a16:creationId xmlns:a16="http://schemas.microsoft.com/office/drawing/2014/main" id="{BD220B31-8903-4E16-AD74-0E143702CBEE}"/>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7" name="Text Box 832">
          <a:extLst>
            <a:ext uri="{FF2B5EF4-FFF2-40B4-BE49-F238E27FC236}">
              <a16:creationId xmlns:a16="http://schemas.microsoft.com/office/drawing/2014/main" id="{9C0B92FA-036F-4F3E-A1D4-46D1B41D406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8" name="Text Box 833">
          <a:extLst>
            <a:ext uri="{FF2B5EF4-FFF2-40B4-BE49-F238E27FC236}">
              <a16:creationId xmlns:a16="http://schemas.microsoft.com/office/drawing/2014/main" id="{D9234CCA-D951-4101-ACD0-95123DF3D04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39" name="Text Box 834">
          <a:extLst>
            <a:ext uri="{FF2B5EF4-FFF2-40B4-BE49-F238E27FC236}">
              <a16:creationId xmlns:a16="http://schemas.microsoft.com/office/drawing/2014/main" id="{06E494DC-5CA5-44B3-8999-555FBC45826D}"/>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0" name="Text Box 835">
          <a:extLst>
            <a:ext uri="{FF2B5EF4-FFF2-40B4-BE49-F238E27FC236}">
              <a16:creationId xmlns:a16="http://schemas.microsoft.com/office/drawing/2014/main" id="{50BF4E69-04D2-45EB-A009-8D52155F3167}"/>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1" name="Text Box 836">
          <a:extLst>
            <a:ext uri="{FF2B5EF4-FFF2-40B4-BE49-F238E27FC236}">
              <a16:creationId xmlns:a16="http://schemas.microsoft.com/office/drawing/2014/main" id="{C6235F26-C7DC-4485-A5E7-12692198CB4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2" name="Text Box 837">
          <a:extLst>
            <a:ext uri="{FF2B5EF4-FFF2-40B4-BE49-F238E27FC236}">
              <a16:creationId xmlns:a16="http://schemas.microsoft.com/office/drawing/2014/main" id="{F09415E6-318B-4581-9956-B78A0212C3B9}"/>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3" name="Text Box 838">
          <a:extLst>
            <a:ext uri="{FF2B5EF4-FFF2-40B4-BE49-F238E27FC236}">
              <a16:creationId xmlns:a16="http://schemas.microsoft.com/office/drawing/2014/main" id="{DB077788-2DF7-4F59-B969-01550F98DEEC}"/>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4" name="Text Box 839">
          <a:extLst>
            <a:ext uri="{FF2B5EF4-FFF2-40B4-BE49-F238E27FC236}">
              <a16:creationId xmlns:a16="http://schemas.microsoft.com/office/drawing/2014/main" id="{D4D36D58-83A6-4ACA-9223-9D55BA544DC3}"/>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twoCellAnchor editAs="oneCell">
    <xdr:from>
      <xdr:col>2</xdr:col>
      <xdr:colOff>2019300</xdr:colOff>
      <xdr:row>143</xdr:row>
      <xdr:rowOff>0</xdr:rowOff>
    </xdr:from>
    <xdr:to>
      <xdr:col>2</xdr:col>
      <xdr:colOff>2019300</xdr:colOff>
      <xdr:row>144</xdr:row>
      <xdr:rowOff>62191</xdr:rowOff>
    </xdr:to>
    <xdr:sp macro="" textlink="">
      <xdr:nvSpPr>
        <xdr:cNvPr id="345" name="Text Box 840">
          <a:extLst>
            <a:ext uri="{FF2B5EF4-FFF2-40B4-BE49-F238E27FC236}">
              <a16:creationId xmlns:a16="http://schemas.microsoft.com/office/drawing/2014/main" id="{F4F64903-9C7E-4081-A74E-919785E0E9C1}"/>
            </a:ext>
          </a:extLst>
        </xdr:cNvPr>
        <xdr:cNvSpPr txBox="1">
          <a:spLocks noChangeArrowheads="1"/>
        </xdr:cNvSpPr>
      </xdr:nvSpPr>
      <xdr:spPr bwMode="auto">
        <a:xfrm>
          <a:off x="2781300" y="28413075"/>
          <a:ext cx="0" cy="224116"/>
        </a:xfrm>
        <a:prstGeom prst="rect">
          <a:avLst/>
        </a:prstGeom>
        <a:noFill/>
        <a:ln w="9525">
          <a:noFill/>
          <a:miter lim="800000"/>
          <a:headEnd/>
          <a:tailEnd/>
        </a:ln>
      </xdr:spPr>
    </xdr:sp>
    <xdr:clientData/>
  </xdr:twoCellAnchor>
  <xdr:oneCellAnchor>
    <xdr:from>
      <xdr:col>4</xdr:col>
      <xdr:colOff>0</xdr:colOff>
      <xdr:row>94</xdr:row>
      <xdr:rowOff>0</xdr:rowOff>
    </xdr:from>
    <xdr:ext cx="76200" cy="200025"/>
    <xdr:sp macro="" textlink="">
      <xdr:nvSpPr>
        <xdr:cNvPr id="346" name="Text Box 2261">
          <a:extLst>
            <a:ext uri="{FF2B5EF4-FFF2-40B4-BE49-F238E27FC236}">
              <a16:creationId xmlns:a16="http://schemas.microsoft.com/office/drawing/2014/main" id="{BD0612B4-898D-4B1A-B6C1-054EB4CDC185}"/>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47" name="Text Box 2262">
          <a:extLst>
            <a:ext uri="{FF2B5EF4-FFF2-40B4-BE49-F238E27FC236}">
              <a16:creationId xmlns:a16="http://schemas.microsoft.com/office/drawing/2014/main" id="{C11C755E-7BDD-427D-87F4-AEF9B4887C7F}"/>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48" name="Text Box 2263">
          <a:extLst>
            <a:ext uri="{FF2B5EF4-FFF2-40B4-BE49-F238E27FC236}">
              <a16:creationId xmlns:a16="http://schemas.microsoft.com/office/drawing/2014/main" id="{EF2FE737-16A4-4249-8273-ADBA9675DF9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49" name="Text Box 2264">
          <a:extLst>
            <a:ext uri="{FF2B5EF4-FFF2-40B4-BE49-F238E27FC236}">
              <a16:creationId xmlns:a16="http://schemas.microsoft.com/office/drawing/2014/main" id="{D5E1F4D6-53DE-4988-9387-B58FCE58C7B2}"/>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0" name="Text Box 2265">
          <a:extLst>
            <a:ext uri="{FF2B5EF4-FFF2-40B4-BE49-F238E27FC236}">
              <a16:creationId xmlns:a16="http://schemas.microsoft.com/office/drawing/2014/main" id="{C7C5C005-ADED-4D05-977D-9F3221EE68A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1" name="Text Box 2266">
          <a:extLst>
            <a:ext uri="{FF2B5EF4-FFF2-40B4-BE49-F238E27FC236}">
              <a16:creationId xmlns:a16="http://schemas.microsoft.com/office/drawing/2014/main" id="{D5FF4187-F3B1-4824-BB8F-56BDDD0A86AF}"/>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2" name="Text Box 2267">
          <a:extLst>
            <a:ext uri="{FF2B5EF4-FFF2-40B4-BE49-F238E27FC236}">
              <a16:creationId xmlns:a16="http://schemas.microsoft.com/office/drawing/2014/main" id="{B1D195C7-629B-4D58-9D5A-71BB677F5AA6}"/>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3" name="Text Box 2268">
          <a:extLst>
            <a:ext uri="{FF2B5EF4-FFF2-40B4-BE49-F238E27FC236}">
              <a16:creationId xmlns:a16="http://schemas.microsoft.com/office/drawing/2014/main" id="{8EE83F98-8D02-4B8E-AD76-45835B4AF85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4" name="Text Box 2269">
          <a:extLst>
            <a:ext uri="{FF2B5EF4-FFF2-40B4-BE49-F238E27FC236}">
              <a16:creationId xmlns:a16="http://schemas.microsoft.com/office/drawing/2014/main" id="{B658A51D-8335-4A46-83D2-DF675E80A024}"/>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5" name="Text Box 2270">
          <a:extLst>
            <a:ext uri="{FF2B5EF4-FFF2-40B4-BE49-F238E27FC236}">
              <a16:creationId xmlns:a16="http://schemas.microsoft.com/office/drawing/2014/main" id="{7DF282E9-700F-48A1-A69A-55DA93288C2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6" name="Text Box 2271">
          <a:extLst>
            <a:ext uri="{FF2B5EF4-FFF2-40B4-BE49-F238E27FC236}">
              <a16:creationId xmlns:a16="http://schemas.microsoft.com/office/drawing/2014/main" id="{DAAFB7AD-C28E-4B46-AA22-ECA6E283D45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7" name="Text Box 2272">
          <a:extLst>
            <a:ext uri="{FF2B5EF4-FFF2-40B4-BE49-F238E27FC236}">
              <a16:creationId xmlns:a16="http://schemas.microsoft.com/office/drawing/2014/main" id="{24240993-5634-459A-B94B-FB7F547347BE}"/>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8" name="Text Box 2273">
          <a:extLst>
            <a:ext uri="{FF2B5EF4-FFF2-40B4-BE49-F238E27FC236}">
              <a16:creationId xmlns:a16="http://schemas.microsoft.com/office/drawing/2014/main" id="{B11A54F7-8B77-47A9-8B84-EC64F53C2CD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59" name="Text Box 2274">
          <a:extLst>
            <a:ext uri="{FF2B5EF4-FFF2-40B4-BE49-F238E27FC236}">
              <a16:creationId xmlns:a16="http://schemas.microsoft.com/office/drawing/2014/main" id="{596A57DB-7669-4F28-9CB7-D5A5CC3EFBA4}"/>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0" name="Text Box 2275">
          <a:extLst>
            <a:ext uri="{FF2B5EF4-FFF2-40B4-BE49-F238E27FC236}">
              <a16:creationId xmlns:a16="http://schemas.microsoft.com/office/drawing/2014/main" id="{CFEBDECA-05C2-40B6-A7FB-645D2696ED56}"/>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1" name="Text Box 2276">
          <a:extLst>
            <a:ext uri="{FF2B5EF4-FFF2-40B4-BE49-F238E27FC236}">
              <a16:creationId xmlns:a16="http://schemas.microsoft.com/office/drawing/2014/main" id="{DCC2E45E-6D2F-491C-97AB-2279C270757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2" name="Text Box 2277">
          <a:extLst>
            <a:ext uri="{FF2B5EF4-FFF2-40B4-BE49-F238E27FC236}">
              <a16:creationId xmlns:a16="http://schemas.microsoft.com/office/drawing/2014/main" id="{B10B68CB-99C5-4B88-AB60-95C9A233B802}"/>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3" name="Text Box 2278">
          <a:extLst>
            <a:ext uri="{FF2B5EF4-FFF2-40B4-BE49-F238E27FC236}">
              <a16:creationId xmlns:a16="http://schemas.microsoft.com/office/drawing/2014/main" id="{7D993B75-6833-407E-8371-7372461CCA0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4" name="Text Box 2279">
          <a:extLst>
            <a:ext uri="{FF2B5EF4-FFF2-40B4-BE49-F238E27FC236}">
              <a16:creationId xmlns:a16="http://schemas.microsoft.com/office/drawing/2014/main" id="{946442BE-C2EA-415D-8F65-B888FFCC4F12}"/>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5" name="Text Box 2280">
          <a:extLst>
            <a:ext uri="{FF2B5EF4-FFF2-40B4-BE49-F238E27FC236}">
              <a16:creationId xmlns:a16="http://schemas.microsoft.com/office/drawing/2014/main" id="{5C391381-C55A-4495-B334-193A8C5AE38E}"/>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6" name="Text Box 2281">
          <a:extLst>
            <a:ext uri="{FF2B5EF4-FFF2-40B4-BE49-F238E27FC236}">
              <a16:creationId xmlns:a16="http://schemas.microsoft.com/office/drawing/2014/main" id="{7F07B8D6-27B2-45BA-A48A-1019AE90CEAE}"/>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7" name="Text Box 2282">
          <a:extLst>
            <a:ext uri="{FF2B5EF4-FFF2-40B4-BE49-F238E27FC236}">
              <a16:creationId xmlns:a16="http://schemas.microsoft.com/office/drawing/2014/main" id="{274AAB63-1C6C-4340-AF9B-E8F058AD27C5}"/>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8" name="Text Box 2283">
          <a:extLst>
            <a:ext uri="{FF2B5EF4-FFF2-40B4-BE49-F238E27FC236}">
              <a16:creationId xmlns:a16="http://schemas.microsoft.com/office/drawing/2014/main" id="{8F760F51-6779-440E-BBCB-884388F8A2D4}"/>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69" name="Text Box 2284">
          <a:extLst>
            <a:ext uri="{FF2B5EF4-FFF2-40B4-BE49-F238E27FC236}">
              <a16:creationId xmlns:a16="http://schemas.microsoft.com/office/drawing/2014/main" id="{B5279EAB-1CD2-4762-9B30-F5D502D00FB5}"/>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0" name="Text Box 2285">
          <a:extLst>
            <a:ext uri="{FF2B5EF4-FFF2-40B4-BE49-F238E27FC236}">
              <a16:creationId xmlns:a16="http://schemas.microsoft.com/office/drawing/2014/main" id="{64ADC374-0B94-42D2-9949-0FF05FEFE9B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1" name="Text Box 2286">
          <a:extLst>
            <a:ext uri="{FF2B5EF4-FFF2-40B4-BE49-F238E27FC236}">
              <a16:creationId xmlns:a16="http://schemas.microsoft.com/office/drawing/2014/main" id="{B28D6503-FF65-4EB8-9187-F422642B33F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2" name="Text Box 2287">
          <a:extLst>
            <a:ext uri="{FF2B5EF4-FFF2-40B4-BE49-F238E27FC236}">
              <a16:creationId xmlns:a16="http://schemas.microsoft.com/office/drawing/2014/main" id="{1B554976-1E63-442D-914F-5F6BE3230A03}"/>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3" name="Text Box 2288">
          <a:extLst>
            <a:ext uri="{FF2B5EF4-FFF2-40B4-BE49-F238E27FC236}">
              <a16:creationId xmlns:a16="http://schemas.microsoft.com/office/drawing/2014/main" id="{98098850-B78C-4CCD-B13F-5BD5AAA0C58D}"/>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4" name="Text Box 2289">
          <a:extLst>
            <a:ext uri="{FF2B5EF4-FFF2-40B4-BE49-F238E27FC236}">
              <a16:creationId xmlns:a16="http://schemas.microsoft.com/office/drawing/2014/main" id="{922814B0-419E-4BE9-80C7-849B4334ED35}"/>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5" name="Text Box 2290">
          <a:extLst>
            <a:ext uri="{FF2B5EF4-FFF2-40B4-BE49-F238E27FC236}">
              <a16:creationId xmlns:a16="http://schemas.microsoft.com/office/drawing/2014/main" id="{58E8B4B6-6EC5-4A6D-A224-5EFC79E972E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6" name="Text Box 2291">
          <a:extLst>
            <a:ext uri="{FF2B5EF4-FFF2-40B4-BE49-F238E27FC236}">
              <a16:creationId xmlns:a16="http://schemas.microsoft.com/office/drawing/2014/main" id="{69126A1C-468F-49C8-B22E-FF734CBF7D8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7" name="Text Box 2292">
          <a:extLst>
            <a:ext uri="{FF2B5EF4-FFF2-40B4-BE49-F238E27FC236}">
              <a16:creationId xmlns:a16="http://schemas.microsoft.com/office/drawing/2014/main" id="{7D27C63C-828F-4F9D-B2FF-68106FAEB2A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8" name="Text Box 2293">
          <a:extLst>
            <a:ext uri="{FF2B5EF4-FFF2-40B4-BE49-F238E27FC236}">
              <a16:creationId xmlns:a16="http://schemas.microsoft.com/office/drawing/2014/main" id="{9D4111CF-E309-4374-A251-5DBECCF97A1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79" name="Text Box 2294">
          <a:extLst>
            <a:ext uri="{FF2B5EF4-FFF2-40B4-BE49-F238E27FC236}">
              <a16:creationId xmlns:a16="http://schemas.microsoft.com/office/drawing/2014/main" id="{02814063-A84E-4EE2-87EB-471CCCE5213E}"/>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0" name="Text Box 2295">
          <a:extLst>
            <a:ext uri="{FF2B5EF4-FFF2-40B4-BE49-F238E27FC236}">
              <a16:creationId xmlns:a16="http://schemas.microsoft.com/office/drawing/2014/main" id="{A6D35BB9-FB08-4256-8BC0-4C4BDB23F64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1" name="Text Box 2296">
          <a:extLst>
            <a:ext uri="{FF2B5EF4-FFF2-40B4-BE49-F238E27FC236}">
              <a16:creationId xmlns:a16="http://schemas.microsoft.com/office/drawing/2014/main" id="{194B5761-0930-4187-9E00-57F5A2C18A0F}"/>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2" name="Text Box 2297">
          <a:extLst>
            <a:ext uri="{FF2B5EF4-FFF2-40B4-BE49-F238E27FC236}">
              <a16:creationId xmlns:a16="http://schemas.microsoft.com/office/drawing/2014/main" id="{46B3A208-07E2-457D-9EA2-C4BBC9F9E3F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3" name="Text Box 2298">
          <a:extLst>
            <a:ext uri="{FF2B5EF4-FFF2-40B4-BE49-F238E27FC236}">
              <a16:creationId xmlns:a16="http://schemas.microsoft.com/office/drawing/2014/main" id="{59EA0296-C040-47FE-88E9-8066E99EE8A8}"/>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4" name="Text Box 2299">
          <a:extLst>
            <a:ext uri="{FF2B5EF4-FFF2-40B4-BE49-F238E27FC236}">
              <a16:creationId xmlns:a16="http://schemas.microsoft.com/office/drawing/2014/main" id="{77619574-BE57-4989-8B55-0C7B5896FFB6}"/>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5" name="Text Box 2300">
          <a:extLst>
            <a:ext uri="{FF2B5EF4-FFF2-40B4-BE49-F238E27FC236}">
              <a16:creationId xmlns:a16="http://schemas.microsoft.com/office/drawing/2014/main" id="{D6895E11-D401-4C75-A0B6-61EB4D97CED8}"/>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6" name="Text Box 2301">
          <a:extLst>
            <a:ext uri="{FF2B5EF4-FFF2-40B4-BE49-F238E27FC236}">
              <a16:creationId xmlns:a16="http://schemas.microsoft.com/office/drawing/2014/main" id="{B61D8D63-6CC8-4D11-986D-D052861E287D}"/>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7" name="Text Box 2302">
          <a:extLst>
            <a:ext uri="{FF2B5EF4-FFF2-40B4-BE49-F238E27FC236}">
              <a16:creationId xmlns:a16="http://schemas.microsoft.com/office/drawing/2014/main" id="{87504A95-B606-42DA-8B4D-A38EA2EB1373}"/>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8" name="Text Box 2303">
          <a:extLst>
            <a:ext uri="{FF2B5EF4-FFF2-40B4-BE49-F238E27FC236}">
              <a16:creationId xmlns:a16="http://schemas.microsoft.com/office/drawing/2014/main" id="{15132E27-08DF-47A6-9340-539288D45AB1}"/>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89" name="Text Box 2304">
          <a:extLst>
            <a:ext uri="{FF2B5EF4-FFF2-40B4-BE49-F238E27FC236}">
              <a16:creationId xmlns:a16="http://schemas.microsoft.com/office/drawing/2014/main" id="{58F409DB-96DA-4F68-AA38-268C5E856A01}"/>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0" name="Text Box 2305">
          <a:extLst>
            <a:ext uri="{FF2B5EF4-FFF2-40B4-BE49-F238E27FC236}">
              <a16:creationId xmlns:a16="http://schemas.microsoft.com/office/drawing/2014/main" id="{7A1A965B-70DC-4B80-A763-CC73E1FC674B}"/>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1" name="Text Box 2306">
          <a:extLst>
            <a:ext uri="{FF2B5EF4-FFF2-40B4-BE49-F238E27FC236}">
              <a16:creationId xmlns:a16="http://schemas.microsoft.com/office/drawing/2014/main" id="{52352295-20A0-4FCF-8B77-4BCA45E872F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2" name="Text Box 2307">
          <a:extLst>
            <a:ext uri="{FF2B5EF4-FFF2-40B4-BE49-F238E27FC236}">
              <a16:creationId xmlns:a16="http://schemas.microsoft.com/office/drawing/2014/main" id="{D9C6E101-270C-4611-A325-962F845BE7ED}"/>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3" name="Text Box 2308">
          <a:extLst>
            <a:ext uri="{FF2B5EF4-FFF2-40B4-BE49-F238E27FC236}">
              <a16:creationId xmlns:a16="http://schemas.microsoft.com/office/drawing/2014/main" id="{B62E198B-9248-4C7C-B8BB-CD7993A914F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4" name="Text Box 2309">
          <a:extLst>
            <a:ext uri="{FF2B5EF4-FFF2-40B4-BE49-F238E27FC236}">
              <a16:creationId xmlns:a16="http://schemas.microsoft.com/office/drawing/2014/main" id="{15EB24C6-6BCB-45E4-8DA7-5EF37B1B2DF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5" name="Text Box 2310">
          <a:extLst>
            <a:ext uri="{FF2B5EF4-FFF2-40B4-BE49-F238E27FC236}">
              <a16:creationId xmlns:a16="http://schemas.microsoft.com/office/drawing/2014/main" id="{BCD70E98-E306-449B-9409-696A54DF5A00}"/>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6" name="Text Box 2311">
          <a:extLst>
            <a:ext uri="{FF2B5EF4-FFF2-40B4-BE49-F238E27FC236}">
              <a16:creationId xmlns:a16="http://schemas.microsoft.com/office/drawing/2014/main" id="{5EA80B42-FD60-4793-B11A-9BE1B7B166D4}"/>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7" name="Text Box 2312">
          <a:extLst>
            <a:ext uri="{FF2B5EF4-FFF2-40B4-BE49-F238E27FC236}">
              <a16:creationId xmlns:a16="http://schemas.microsoft.com/office/drawing/2014/main" id="{9DA11722-DD49-4878-93F9-C09EBF9FF963}"/>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8" name="Text Box 2313">
          <a:extLst>
            <a:ext uri="{FF2B5EF4-FFF2-40B4-BE49-F238E27FC236}">
              <a16:creationId xmlns:a16="http://schemas.microsoft.com/office/drawing/2014/main" id="{61D31CF4-8FA1-4118-A98D-2E145D6E2DB3}"/>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399" name="Text Box 2314">
          <a:extLst>
            <a:ext uri="{FF2B5EF4-FFF2-40B4-BE49-F238E27FC236}">
              <a16:creationId xmlns:a16="http://schemas.microsoft.com/office/drawing/2014/main" id="{31FC6CE8-77B0-48FA-84DA-479D2141786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0" name="Text Box 2315">
          <a:extLst>
            <a:ext uri="{FF2B5EF4-FFF2-40B4-BE49-F238E27FC236}">
              <a16:creationId xmlns:a16="http://schemas.microsoft.com/office/drawing/2014/main" id="{270A6D12-8F02-4A29-9621-584434C6E0E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1" name="Text Box 2316">
          <a:extLst>
            <a:ext uri="{FF2B5EF4-FFF2-40B4-BE49-F238E27FC236}">
              <a16:creationId xmlns:a16="http://schemas.microsoft.com/office/drawing/2014/main" id="{AD268C4E-77D1-474C-88D0-884DDCBE9D3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2" name="Text Box 2317">
          <a:extLst>
            <a:ext uri="{FF2B5EF4-FFF2-40B4-BE49-F238E27FC236}">
              <a16:creationId xmlns:a16="http://schemas.microsoft.com/office/drawing/2014/main" id="{412A183C-2DC7-45D0-ADC3-A285D07C4F81}"/>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3" name="Text Box 2318">
          <a:extLst>
            <a:ext uri="{FF2B5EF4-FFF2-40B4-BE49-F238E27FC236}">
              <a16:creationId xmlns:a16="http://schemas.microsoft.com/office/drawing/2014/main" id="{98C13CB1-FEB7-4365-A02D-894505C45C8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4" name="Text Box 2319">
          <a:extLst>
            <a:ext uri="{FF2B5EF4-FFF2-40B4-BE49-F238E27FC236}">
              <a16:creationId xmlns:a16="http://schemas.microsoft.com/office/drawing/2014/main" id="{48725CB4-4639-4C73-814B-87E11241C06F}"/>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5" name="Text Box 2320">
          <a:extLst>
            <a:ext uri="{FF2B5EF4-FFF2-40B4-BE49-F238E27FC236}">
              <a16:creationId xmlns:a16="http://schemas.microsoft.com/office/drawing/2014/main" id="{35CD3C89-C6F7-4D0E-9A21-185E06F14800}"/>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6" name="Text Box 2321">
          <a:extLst>
            <a:ext uri="{FF2B5EF4-FFF2-40B4-BE49-F238E27FC236}">
              <a16:creationId xmlns:a16="http://schemas.microsoft.com/office/drawing/2014/main" id="{74D69D96-9EF8-4404-AF44-50CB898935E1}"/>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7" name="Text Box 2322">
          <a:extLst>
            <a:ext uri="{FF2B5EF4-FFF2-40B4-BE49-F238E27FC236}">
              <a16:creationId xmlns:a16="http://schemas.microsoft.com/office/drawing/2014/main" id="{918F7C83-5B5F-49B2-88F2-629182EBFE3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8" name="Text Box 2323">
          <a:extLst>
            <a:ext uri="{FF2B5EF4-FFF2-40B4-BE49-F238E27FC236}">
              <a16:creationId xmlns:a16="http://schemas.microsoft.com/office/drawing/2014/main" id="{3115A1B3-CB76-463C-BB63-CBCEE4B8CF9A}"/>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09" name="Text Box 2324">
          <a:extLst>
            <a:ext uri="{FF2B5EF4-FFF2-40B4-BE49-F238E27FC236}">
              <a16:creationId xmlns:a16="http://schemas.microsoft.com/office/drawing/2014/main" id="{C66D5DD1-55C0-47F0-B4DC-98F4711C9545}"/>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10" name="Text Box 2325">
          <a:extLst>
            <a:ext uri="{FF2B5EF4-FFF2-40B4-BE49-F238E27FC236}">
              <a16:creationId xmlns:a16="http://schemas.microsoft.com/office/drawing/2014/main" id="{3332E9FD-0123-4F22-A193-EB4DE1AEB9B7}"/>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11" name="Text Box 2326">
          <a:extLst>
            <a:ext uri="{FF2B5EF4-FFF2-40B4-BE49-F238E27FC236}">
              <a16:creationId xmlns:a16="http://schemas.microsoft.com/office/drawing/2014/main" id="{9803FB04-8729-4BA7-BFF8-5B5B681C555C}"/>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12" name="Text Box 2327">
          <a:extLst>
            <a:ext uri="{FF2B5EF4-FFF2-40B4-BE49-F238E27FC236}">
              <a16:creationId xmlns:a16="http://schemas.microsoft.com/office/drawing/2014/main" id="{CDEFC137-4453-44C5-A72B-CBFD2CF46F1F}"/>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4</xdr:col>
      <xdr:colOff>0</xdr:colOff>
      <xdr:row>94</xdr:row>
      <xdr:rowOff>0</xdr:rowOff>
    </xdr:from>
    <xdr:ext cx="76200" cy="200025"/>
    <xdr:sp macro="" textlink="">
      <xdr:nvSpPr>
        <xdr:cNvPr id="413" name="Text Box 2328">
          <a:extLst>
            <a:ext uri="{FF2B5EF4-FFF2-40B4-BE49-F238E27FC236}">
              <a16:creationId xmlns:a16="http://schemas.microsoft.com/office/drawing/2014/main" id="{715E831A-E8D4-463C-A8A0-E50822FD99A9}"/>
            </a:ext>
          </a:extLst>
        </xdr:cNvPr>
        <xdr:cNvSpPr txBox="1">
          <a:spLocks noChangeArrowheads="1"/>
        </xdr:cNvSpPr>
      </xdr:nvSpPr>
      <xdr:spPr bwMode="auto">
        <a:xfrm>
          <a:off x="5695950" y="19373850"/>
          <a:ext cx="76200" cy="200025"/>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4" name="Text 13315">
          <a:extLst>
            <a:ext uri="{FF2B5EF4-FFF2-40B4-BE49-F238E27FC236}">
              <a16:creationId xmlns:a16="http://schemas.microsoft.com/office/drawing/2014/main" id="{7CFA4C0A-65BB-4790-BB12-54807FCEC256}"/>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5" name="Text 13316">
          <a:extLst>
            <a:ext uri="{FF2B5EF4-FFF2-40B4-BE49-F238E27FC236}">
              <a16:creationId xmlns:a16="http://schemas.microsoft.com/office/drawing/2014/main" id="{67B286AE-16BC-4812-94E5-0B861640E56A}"/>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6" name="Text 13317">
          <a:extLst>
            <a:ext uri="{FF2B5EF4-FFF2-40B4-BE49-F238E27FC236}">
              <a16:creationId xmlns:a16="http://schemas.microsoft.com/office/drawing/2014/main" id="{9EB0DE10-A254-4B27-B5FF-E94A62A02321}"/>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7" name="Text 13318">
          <a:extLst>
            <a:ext uri="{FF2B5EF4-FFF2-40B4-BE49-F238E27FC236}">
              <a16:creationId xmlns:a16="http://schemas.microsoft.com/office/drawing/2014/main" id="{43BF531B-32EF-4F06-B7C9-9E111EFBD849}"/>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8" name="Text 13319">
          <a:extLst>
            <a:ext uri="{FF2B5EF4-FFF2-40B4-BE49-F238E27FC236}">
              <a16:creationId xmlns:a16="http://schemas.microsoft.com/office/drawing/2014/main" id="{FDF6AC2D-81FF-4FD4-9DAC-95EE6511A44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19" name="Text 13320">
          <a:extLst>
            <a:ext uri="{FF2B5EF4-FFF2-40B4-BE49-F238E27FC236}">
              <a16:creationId xmlns:a16="http://schemas.microsoft.com/office/drawing/2014/main" id="{4B9D4D11-BDA6-4F19-BB17-7924ACAF44F1}"/>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0" name="Text 13321">
          <a:extLst>
            <a:ext uri="{FF2B5EF4-FFF2-40B4-BE49-F238E27FC236}">
              <a16:creationId xmlns:a16="http://schemas.microsoft.com/office/drawing/2014/main" id="{F7F30FA0-42C8-49F7-9496-24DC547209FC}"/>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1" name="Text 13322">
          <a:extLst>
            <a:ext uri="{FF2B5EF4-FFF2-40B4-BE49-F238E27FC236}">
              <a16:creationId xmlns:a16="http://schemas.microsoft.com/office/drawing/2014/main" id="{F5E4522A-5B4E-470E-95D3-882D301FD96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2" name="Text 13323">
          <a:extLst>
            <a:ext uri="{FF2B5EF4-FFF2-40B4-BE49-F238E27FC236}">
              <a16:creationId xmlns:a16="http://schemas.microsoft.com/office/drawing/2014/main" id="{CC271E18-0272-48A1-9475-C05F9AC88293}"/>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3" name="Text 13324">
          <a:extLst>
            <a:ext uri="{FF2B5EF4-FFF2-40B4-BE49-F238E27FC236}">
              <a16:creationId xmlns:a16="http://schemas.microsoft.com/office/drawing/2014/main" id="{738D9672-5001-4DAA-9B70-F88F51731A4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4" name="Text 13325">
          <a:extLst>
            <a:ext uri="{FF2B5EF4-FFF2-40B4-BE49-F238E27FC236}">
              <a16:creationId xmlns:a16="http://schemas.microsoft.com/office/drawing/2014/main" id="{41885E94-9ABA-4EC0-9F00-343AB984E53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5" name="Text 13326">
          <a:extLst>
            <a:ext uri="{FF2B5EF4-FFF2-40B4-BE49-F238E27FC236}">
              <a16:creationId xmlns:a16="http://schemas.microsoft.com/office/drawing/2014/main" id="{93C6FDA5-07B5-4A58-BC44-AAA53AA9F498}"/>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6" name="Text 13327">
          <a:extLst>
            <a:ext uri="{FF2B5EF4-FFF2-40B4-BE49-F238E27FC236}">
              <a16:creationId xmlns:a16="http://schemas.microsoft.com/office/drawing/2014/main" id="{EC4E75CA-2386-4236-A8D6-32680691802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7" name="Text 13328">
          <a:extLst>
            <a:ext uri="{FF2B5EF4-FFF2-40B4-BE49-F238E27FC236}">
              <a16:creationId xmlns:a16="http://schemas.microsoft.com/office/drawing/2014/main" id="{F7C28D3C-00CE-40A6-9907-040B1FCB80A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8" name="Text 13329">
          <a:extLst>
            <a:ext uri="{FF2B5EF4-FFF2-40B4-BE49-F238E27FC236}">
              <a16:creationId xmlns:a16="http://schemas.microsoft.com/office/drawing/2014/main" id="{485E6A16-0E57-46B5-AA64-C0C74BCDDA4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29" name="Text 13330">
          <a:extLst>
            <a:ext uri="{FF2B5EF4-FFF2-40B4-BE49-F238E27FC236}">
              <a16:creationId xmlns:a16="http://schemas.microsoft.com/office/drawing/2014/main" id="{59D3C082-98A9-4F39-8F38-EE779E024176}"/>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0" name="Text 13331">
          <a:extLst>
            <a:ext uri="{FF2B5EF4-FFF2-40B4-BE49-F238E27FC236}">
              <a16:creationId xmlns:a16="http://schemas.microsoft.com/office/drawing/2014/main" id="{DB4E1607-9AC2-4FC7-968D-075BAA4538DB}"/>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1" name="Text 13332">
          <a:extLst>
            <a:ext uri="{FF2B5EF4-FFF2-40B4-BE49-F238E27FC236}">
              <a16:creationId xmlns:a16="http://schemas.microsoft.com/office/drawing/2014/main" id="{624C30C8-19E2-4108-8568-61F5976310B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2" name="Text 13315">
          <a:extLst>
            <a:ext uri="{FF2B5EF4-FFF2-40B4-BE49-F238E27FC236}">
              <a16:creationId xmlns:a16="http://schemas.microsoft.com/office/drawing/2014/main" id="{69A7689D-593C-4D4E-BF00-00A5CC9A3EE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3" name="Text 13316">
          <a:extLst>
            <a:ext uri="{FF2B5EF4-FFF2-40B4-BE49-F238E27FC236}">
              <a16:creationId xmlns:a16="http://schemas.microsoft.com/office/drawing/2014/main" id="{DB48D19C-B783-4F0A-872E-832E24AD5D1E}"/>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4" name="Text 13317">
          <a:extLst>
            <a:ext uri="{FF2B5EF4-FFF2-40B4-BE49-F238E27FC236}">
              <a16:creationId xmlns:a16="http://schemas.microsoft.com/office/drawing/2014/main" id="{CBFCA22E-DA51-4141-97E1-59D32162247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5" name="Text 13318">
          <a:extLst>
            <a:ext uri="{FF2B5EF4-FFF2-40B4-BE49-F238E27FC236}">
              <a16:creationId xmlns:a16="http://schemas.microsoft.com/office/drawing/2014/main" id="{F8D165B8-E9C2-460F-9852-1EF21705A5B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6" name="Text 13319">
          <a:extLst>
            <a:ext uri="{FF2B5EF4-FFF2-40B4-BE49-F238E27FC236}">
              <a16:creationId xmlns:a16="http://schemas.microsoft.com/office/drawing/2014/main" id="{A3117E6D-17A9-4ED1-A902-C776FA12FB06}"/>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7" name="Text 13320">
          <a:extLst>
            <a:ext uri="{FF2B5EF4-FFF2-40B4-BE49-F238E27FC236}">
              <a16:creationId xmlns:a16="http://schemas.microsoft.com/office/drawing/2014/main" id="{6C9C9378-562A-4ED8-A762-3CD5CB79809E}"/>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8" name="Text 13321">
          <a:extLst>
            <a:ext uri="{FF2B5EF4-FFF2-40B4-BE49-F238E27FC236}">
              <a16:creationId xmlns:a16="http://schemas.microsoft.com/office/drawing/2014/main" id="{7B4B36BA-4587-49CF-A8A1-CBB027BD8CD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39" name="Text 13322">
          <a:extLst>
            <a:ext uri="{FF2B5EF4-FFF2-40B4-BE49-F238E27FC236}">
              <a16:creationId xmlns:a16="http://schemas.microsoft.com/office/drawing/2014/main" id="{FB3B9419-503A-4A61-B2E4-2335AFB7A8B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0" name="Text 13323">
          <a:extLst>
            <a:ext uri="{FF2B5EF4-FFF2-40B4-BE49-F238E27FC236}">
              <a16:creationId xmlns:a16="http://schemas.microsoft.com/office/drawing/2014/main" id="{E96E766C-C1E5-4C04-A9BE-014C7916E5A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1" name="Text 13324">
          <a:extLst>
            <a:ext uri="{FF2B5EF4-FFF2-40B4-BE49-F238E27FC236}">
              <a16:creationId xmlns:a16="http://schemas.microsoft.com/office/drawing/2014/main" id="{DA1F4EF7-406F-4692-8F5A-D6B0B62C5AA5}"/>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2" name="Text 13325">
          <a:extLst>
            <a:ext uri="{FF2B5EF4-FFF2-40B4-BE49-F238E27FC236}">
              <a16:creationId xmlns:a16="http://schemas.microsoft.com/office/drawing/2014/main" id="{4C0E18F5-0467-4BC8-921C-362854ACE11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3" name="Text 13326">
          <a:extLst>
            <a:ext uri="{FF2B5EF4-FFF2-40B4-BE49-F238E27FC236}">
              <a16:creationId xmlns:a16="http://schemas.microsoft.com/office/drawing/2014/main" id="{C7D47713-F5D9-4858-8724-22F401E2F07D}"/>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4" name="Text 13327">
          <a:extLst>
            <a:ext uri="{FF2B5EF4-FFF2-40B4-BE49-F238E27FC236}">
              <a16:creationId xmlns:a16="http://schemas.microsoft.com/office/drawing/2014/main" id="{3B476DC7-D0AE-4AEC-899A-CE15EF01C470}"/>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5" name="Text 13328">
          <a:extLst>
            <a:ext uri="{FF2B5EF4-FFF2-40B4-BE49-F238E27FC236}">
              <a16:creationId xmlns:a16="http://schemas.microsoft.com/office/drawing/2014/main" id="{1AB19FA3-964D-4AC1-8CE5-4B0DFF5901B2}"/>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6" name="Text 13329">
          <a:extLst>
            <a:ext uri="{FF2B5EF4-FFF2-40B4-BE49-F238E27FC236}">
              <a16:creationId xmlns:a16="http://schemas.microsoft.com/office/drawing/2014/main" id="{646001D4-4DDF-40FC-90D3-619646082419}"/>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7" name="Text 13330">
          <a:extLst>
            <a:ext uri="{FF2B5EF4-FFF2-40B4-BE49-F238E27FC236}">
              <a16:creationId xmlns:a16="http://schemas.microsoft.com/office/drawing/2014/main" id="{9348D337-ABE7-4D5F-AE3A-C727B7E32DAE}"/>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8" name="Text 13331">
          <a:extLst>
            <a:ext uri="{FF2B5EF4-FFF2-40B4-BE49-F238E27FC236}">
              <a16:creationId xmlns:a16="http://schemas.microsoft.com/office/drawing/2014/main" id="{187D2DD4-62BC-4087-AB36-8B58A851FE98}"/>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oneCellAnchor>
    <xdr:from>
      <xdr:col>2</xdr:col>
      <xdr:colOff>2019300</xdr:colOff>
      <xdr:row>141</xdr:row>
      <xdr:rowOff>0</xdr:rowOff>
    </xdr:from>
    <xdr:ext cx="0" cy="209550"/>
    <xdr:sp macro="" textlink="">
      <xdr:nvSpPr>
        <xdr:cNvPr id="449" name="Text 13332">
          <a:extLst>
            <a:ext uri="{FF2B5EF4-FFF2-40B4-BE49-F238E27FC236}">
              <a16:creationId xmlns:a16="http://schemas.microsoft.com/office/drawing/2014/main" id="{41B50C77-07E2-4112-87E9-8A3E71D2DBCC}"/>
            </a:ext>
          </a:extLst>
        </xdr:cNvPr>
        <xdr:cNvSpPr txBox="1">
          <a:spLocks noChangeArrowheads="1"/>
        </xdr:cNvSpPr>
      </xdr:nvSpPr>
      <xdr:spPr bwMode="auto">
        <a:xfrm>
          <a:off x="2781300" y="28032075"/>
          <a:ext cx="0" cy="209550"/>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3089237</xdr:colOff>
      <xdr:row>10</xdr:row>
      <xdr:rowOff>224118</xdr:rowOff>
    </xdr:from>
    <xdr:to>
      <xdr:col>3</xdr:col>
      <xdr:colOff>328922</xdr:colOff>
      <xdr:row>11</xdr:row>
      <xdr:rowOff>963705</xdr:rowOff>
    </xdr:to>
    <xdr:sp macro="" textlink="">
      <xdr:nvSpPr>
        <xdr:cNvPr id="2" name="Right Brace 1">
          <a:extLst>
            <a:ext uri="{FF2B5EF4-FFF2-40B4-BE49-F238E27FC236}">
              <a16:creationId xmlns:a16="http://schemas.microsoft.com/office/drawing/2014/main" id="{69A60A39-92E4-45FA-8F58-FD2651AC1AE9}"/>
            </a:ext>
          </a:extLst>
        </xdr:cNvPr>
        <xdr:cNvSpPr/>
      </xdr:nvSpPr>
      <xdr:spPr>
        <a:xfrm>
          <a:off x="4346537" y="4205568"/>
          <a:ext cx="497235" cy="1730187"/>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endParaRPr lang="en-US"/>
        </a:p>
      </xdr:txBody>
    </xdr:sp>
    <xdr:clientData/>
  </xdr:twoCellAnchor>
  <xdr:twoCellAnchor editAs="oneCell">
    <xdr:from>
      <xdr:col>2</xdr:col>
      <xdr:colOff>2019300</xdr:colOff>
      <xdr:row>19</xdr:row>
      <xdr:rowOff>0</xdr:rowOff>
    </xdr:from>
    <xdr:to>
      <xdr:col>2</xdr:col>
      <xdr:colOff>2019300</xdr:colOff>
      <xdr:row>20</xdr:row>
      <xdr:rowOff>28575</xdr:rowOff>
    </xdr:to>
    <xdr:sp macro="" textlink="">
      <xdr:nvSpPr>
        <xdr:cNvPr id="3" name="Text Box 499">
          <a:extLst>
            <a:ext uri="{FF2B5EF4-FFF2-40B4-BE49-F238E27FC236}">
              <a16:creationId xmlns:a16="http://schemas.microsoft.com/office/drawing/2014/main" id="{9BAF66C1-D982-4E97-B5D3-768E0762F039}"/>
            </a:ext>
          </a:extLst>
        </xdr:cNvPr>
        <xdr:cNvSpPr txBox="1">
          <a:spLocks noChangeArrowheads="1"/>
        </xdr:cNvSpPr>
      </xdr:nvSpPr>
      <xdr:spPr bwMode="auto">
        <a:xfrm>
          <a:off x="3276600" y="8296275"/>
          <a:ext cx="0" cy="23812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28575</xdr:rowOff>
    </xdr:to>
    <xdr:sp macro="" textlink="">
      <xdr:nvSpPr>
        <xdr:cNvPr id="4" name="Text Box 500">
          <a:extLst>
            <a:ext uri="{FF2B5EF4-FFF2-40B4-BE49-F238E27FC236}">
              <a16:creationId xmlns:a16="http://schemas.microsoft.com/office/drawing/2014/main" id="{AC548036-233B-4A4F-A8AB-E6459C848ADF}"/>
            </a:ext>
          </a:extLst>
        </xdr:cNvPr>
        <xdr:cNvSpPr txBox="1">
          <a:spLocks noChangeArrowheads="1"/>
        </xdr:cNvSpPr>
      </xdr:nvSpPr>
      <xdr:spPr bwMode="auto">
        <a:xfrm>
          <a:off x="3276600" y="8296275"/>
          <a:ext cx="0" cy="23812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28575</xdr:rowOff>
    </xdr:to>
    <xdr:sp macro="" textlink="">
      <xdr:nvSpPr>
        <xdr:cNvPr id="5" name="Text Box 501">
          <a:extLst>
            <a:ext uri="{FF2B5EF4-FFF2-40B4-BE49-F238E27FC236}">
              <a16:creationId xmlns:a16="http://schemas.microsoft.com/office/drawing/2014/main" id="{52E226E1-33F6-45A1-BC03-A7BC9E0C73E4}"/>
            </a:ext>
          </a:extLst>
        </xdr:cNvPr>
        <xdr:cNvSpPr txBox="1">
          <a:spLocks noChangeArrowheads="1"/>
        </xdr:cNvSpPr>
      </xdr:nvSpPr>
      <xdr:spPr bwMode="auto">
        <a:xfrm>
          <a:off x="3276600" y="8296275"/>
          <a:ext cx="0" cy="23812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28575</xdr:rowOff>
    </xdr:to>
    <xdr:sp macro="" textlink="">
      <xdr:nvSpPr>
        <xdr:cNvPr id="6" name="Text Box 502">
          <a:extLst>
            <a:ext uri="{FF2B5EF4-FFF2-40B4-BE49-F238E27FC236}">
              <a16:creationId xmlns:a16="http://schemas.microsoft.com/office/drawing/2014/main" id="{533DE415-FF0C-4EF6-99E0-7B170303E804}"/>
            </a:ext>
          </a:extLst>
        </xdr:cNvPr>
        <xdr:cNvSpPr txBox="1">
          <a:spLocks noChangeArrowheads="1"/>
        </xdr:cNvSpPr>
      </xdr:nvSpPr>
      <xdr:spPr bwMode="auto">
        <a:xfrm>
          <a:off x="3276600" y="8296275"/>
          <a:ext cx="0" cy="23812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7" name="Text 13315">
          <a:extLst>
            <a:ext uri="{FF2B5EF4-FFF2-40B4-BE49-F238E27FC236}">
              <a16:creationId xmlns:a16="http://schemas.microsoft.com/office/drawing/2014/main" id="{43EDDC68-0214-4A44-B93D-D3764F3BED6C}"/>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8" name="Text 13316">
          <a:extLst>
            <a:ext uri="{FF2B5EF4-FFF2-40B4-BE49-F238E27FC236}">
              <a16:creationId xmlns:a16="http://schemas.microsoft.com/office/drawing/2014/main" id="{9176290B-4DE3-429E-B30E-D72BA8467AD1}"/>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9" name="Text 13317">
          <a:extLst>
            <a:ext uri="{FF2B5EF4-FFF2-40B4-BE49-F238E27FC236}">
              <a16:creationId xmlns:a16="http://schemas.microsoft.com/office/drawing/2014/main" id="{055FC829-2266-4F78-A84E-79332FB255A9}"/>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0" name="Text 13318">
          <a:extLst>
            <a:ext uri="{FF2B5EF4-FFF2-40B4-BE49-F238E27FC236}">
              <a16:creationId xmlns:a16="http://schemas.microsoft.com/office/drawing/2014/main" id="{016B52C9-CE4F-487E-8B38-1A9DA123CE49}"/>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1" name="Text 13319">
          <a:extLst>
            <a:ext uri="{FF2B5EF4-FFF2-40B4-BE49-F238E27FC236}">
              <a16:creationId xmlns:a16="http://schemas.microsoft.com/office/drawing/2014/main" id="{D9D58281-A780-4602-B2D6-B2072EA13D48}"/>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2" name="Text 13320">
          <a:extLst>
            <a:ext uri="{FF2B5EF4-FFF2-40B4-BE49-F238E27FC236}">
              <a16:creationId xmlns:a16="http://schemas.microsoft.com/office/drawing/2014/main" id="{43232FB9-8AF7-41B6-B54C-D90EF6A41ED4}"/>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3" name="Text 13321">
          <a:extLst>
            <a:ext uri="{FF2B5EF4-FFF2-40B4-BE49-F238E27FC236}">
              <a16:creationId xmlns:a16="http://schemas.microsoft.com/office/drawing/2014/main" id="{41C25358-F88E-4431-BA03-DCF81B98DB59}"/>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4" name="Text 13322">
          <a:extLst>
            <a:ext uri="{FF2B5EF4-FFF2-40B4-BE49-F238E27FC236}">
              <a16:creationId xmlns:a16="http://schemas.microsoft.com/office/drawing/2014/main" id="{C1491447-FABA-41ED-BA60-A651ACC591EE}"/>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5" name="Text 13323">
          <a:extLst>
            <a:ext uri="{FF2B5EF4-FFF2-40B4-BE49-F238E27FC236}">
              <a16:creationId xmlns:a16="http://schemas.microsoft.com/office/drawing/2014/main" id="{699ABD99-658B-499E-9818-224990CDD5F2}"/>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6" name="Text 13324">
          <a:extLst>
            <a:ext uri="{FF2B5EF4-FFF2-40B4-BE49-F238E27FC236}">
              <a16:creationId xmlns:a16="http://schemas.microsoft.com/office/drawing/2014/main" id="{58731000-9CAC-4F77-B9D6-509A5CDAB85F}"/>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7" name="Text 13325">
          <a:extLst>
            <a:ext uri="{FF2B5EF4-FFF2-40B4-BE49-F238E27FC236}">
              <a16:creationId xmlns:a16="http://schemas.microsoft.com/office/drawing/2014/main" id="{C7ADF23E-B595-40C1-8C78-504E0A7D13F0}"/>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8" name="Text 13326">
          <a:extLst>
            <a:ext uri="{FF2B5EF4-FFF2-40B4-BE49-F238E27FC236}">
              <a16:creationId xmlns:a16="http://schemas.microsoft.com/office/drawing/2014/main" id="{AC1041A8-D6F5-48AF-9CF5-4A12C6AC215B}"/>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19" name="Text 13327">
          <a:extLst>
            <a:ext uri="{FF2B5EF4-FFF2-40B4-BE49-F238E27FC236}">
              <a16:creationId xmlns:a16="http://schemas.microsoft.com/office/drawing/2014/main" id="{33A8A513-D66C-49E5-92E8-FD7A551848A0}"/>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20" name="Text 13328">
          <a:extLst>
            <a:ext uri="{FF2B5EF4-FFF2-40B4-BE49-F238E27FC236}">
              <a16:creationId xmlns:a16="http://schemas.microsoft.com/office/drawing/2014/main" id="{9A8CC8C4-A48A-4AD8-902B-EAB572975DD3}"/>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21" name="Text 13329">
          <a:extLst>
            <a:ext uri="{FF2B5EF4-FFF2-40B4-BE49-F238E27FC236}">
              <a16:creationId xmlns:a16="http://schemas.microsoft.com/office/drawing/2014/main" id="{D7818715-B26B-4F18-AD31-B89BD1BEE051}"/>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22" name="Text 13330">
          <a:extLst>
            <a:ext uri="{FF2B5EF4-FFF2-40B4-BE49-F238E27FC236}">
              <a16:creationId xmlns:a16="http://schemas.microsoft.com/office/drawing/2014/main" id="{A7994D8A-1A7D-4074-A19E-82B295F3F030}"/>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23" name="Text 13331">
          <a:extLst>
            <a:ext uri="{FF2B5EF4-FFF2-40B4-BE49-F238E27FC236}">
              <a16:creationId xmlns:a16="http://schemas.microsoft.com/office/drawing/2014/main" id="{C6B19B55-5AA2-4FC8-9CCA-3D237F17D1BA}"/>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twoCellAnchor editAs="oneCell">
    <xdr:from>
      <xdr:col>2</xdr:col>
      <xdr:colOff>2019300</xdr:colOff>
      <xdr:row>19</xdr:row>
      <xdr:rowOff>0</xdr:rowOff>
    </xdr:from>
    <xdr:to>
      <xdr:col>2</xdr:col>
      <xdr:colOff>2019300</xdr:colOff>
      <xdr:row>20</xdr:row>
      <xdr:rowOff>9525</xdr:rowOff>
    </xdr:to>
    <xdr:sp macro="" textlink="">
      <xdr:nvSpPr>
        <xdr:cNvPr id="24" name="Text 13332">
          <a:extLst>
            <a:ext uri="{FF2B5EF4-FFF2-40B4-BE49-F238E27FC236}">
              <a16:creationId xmlns:a16="http://schemas.microsoft.com/office/drawing/2014/main" id="{E81581C3-E9AE-4DC6-BE04-C5BD3CDC244D}"/>
            </a:ext>
          </a:extLst>
        </xdr:cNvPr>
        <xdr:cNvSpPr txBox="1">
          <a:spLocks noChangeArrowheads="1"/>
        </xdr:cNvSpPr>
      </xdr:nvSpPr>
      <xdr:spPr bwMode="auto">
        <a:xfrm>
          <a:off x="3276600" y="8296275"/>
          <a:ext cx="0" cy="219075"/>
        </a:xfrm>
        <a:prstGeom prst="rect">
          <a:avLst/>
        </a:prstGeom>
        <a:noFill/>
        <a:ln w="9525">
          <a:noFill/>
          <a:miter lim="800000"/>
          <a:headEnd/>
          <a:tailEnd/>
        </a:ln>
      </xdr:spPr>
    </xdr:sp>
    <xdr:clientData/>
  </xdr:twoCellAnchor>
  <xdr:oneCellAnchor>
    <xdr:from>
      <xdr:col>2</xdr:col>
      <xdr:colOff>2019300</xdr:colOff>
      <xdr:row>19</xdr:row>
      <xdr:rowOff>0</xdr:rowOff>
    </xdr:from>
    <xdr:ext cx="0" cy="209550"/>
    <xdr:sp macro="" textlink="">
      <xdr:nvSpPr>
        <xdr:cNvPr id="25" name="Text 13315">
          <a:extLst>
            <a:ext uri="{FF2B5EF4-FFF2-40B4-BE49-F238E27FC236}">
              <a16:creationId xmlns:a16="http://schemas.microsoft.com/office/drawing/2014/main" id="{2AB83B0E-15D1-4749-BB20-01A0EB905D52}"/>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26" name="Text 13316">
          <a:extLst>
            <a:ext uri="{FF2B5EF4-FFF2-40B4-BE49-F238E27FC236}">
              <a16:creationId xmlns:a16="http://schemas.microsoft.com/office/drawing/2014/main" id="{2C4D8E85-59FF-4408-9E11-712D875023D8}"/>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27" name="Text 13317">
          <a:extLst>
            <a:ext uri="{FF2B5EF4-FFF2-40B4-BE49-F238E27FC236}">
              <a16:creationId xmlns:a16="http://schemas.microsoft.com/office/drawing/2014/main" id="{97E7DABA-4C60-46A3-B7F6-E0E2C8E2567C}"/>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28" name="Text 13318">
          <a:extLst>
            <a:ext uri="{FF2B5EF4-FFF2-40B4-BE49-F238E27FC236}">
              <a16:creationId xmlns:a16="http://schemas.microsoft.com/office/drawing/2014/main" id="{98A17785-A9DD-4DE4-82E1-4B562A98FF86}"/>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29" name="Text 13319">
          <a:extLst>
            <a:ext uri="{FF2B5EF4-FFF2-40B4-BE49-F238E27FC236}">
              <a16:creationId xmlns:a16="http://schemas.microsoft.com/office/drawing/2014/main" id="{3E0FD3A4-DFB2-4428-B6EC-BE68DF77AE31}"/>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0" name="Text 13320">
          <a:extLst>
            <a:ext uri="{FF2B5EF4-FFF2-40B4-BE49-F238E27FC236}">
              <a16:creationId xmlns:a16="http://schemas.microsoft.com/office/drawing/2014/main" id="{E28D3C66-3367-4F52-9253-071C3099AB7A}"/>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1" name="Text 13321">
          <a:extLst>
            <a:ext uri="{FF2B5EF4-FFF2-40B4-BE49-F238E27FC236}">
              <a16:creationId xmlns:a16="http://schemas.microsoft.com/office/drawing/2014/main" id="{058505DA-4C7E-438C-A9BC-A182014FD774}"/>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2" name="Text 13322">
          <a:extLst>
            <a:ext uri="{FF2B5EF4-FFF2-40B4-BE49-F238E27FC236}">
              <a16:creationId xmlns:a16="http://schemas.microsoft.com/office/drawing/2014/main" id="{207C16F9-1EAA-4ABC-8C97-7F4A350E7BD7}"/>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3" name="Text 13323">
          <a:extLst>
            <a:ext uri="{FF2B5EF4-FFF2-40B4-BE49-F238E27FC236}">
              <a16:creationId xmlns:a16="http://schemas.microsoft.com/office/drawing/2014/main" id="{F98B18D4-F5F8-4D94-A09A-0A281353B61B}"/>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4" name="Text 13324">
          <a:extLst>
            <a:ext uri="{FF2B5EF4-FFF2-40B4-BE49-F238E27FC236}">
              <a16:creationId xmlns:a16="http://schemas.microsoft.com/office/drawing/2014/main" id="{A9BBCA1D-CF31-4A35-A68A-7A34741D7407}"/>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5" name="Text 13325">
          <a:extLst>
            <a:ext uri="{FF2B5EF4-FFF2-40B4-BE49-F238E27FC236}">
              <a16:creationId xmlns:a16="http://schemas.microsoft.com/office/drawing/2014/main" id="{CE006BA0-A656-4674-B23C-B63481EA0087}"/>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6" name="Text 13326">
          <a:extLst>
            <a:ext uri="{FF2B5EF4-FFF2-40B4-BE49-F238E27FC236}">
              <a16:creationId xmlns:a16="http://schemas.microsoft.com/office/drawing/2014/main" id="{6F6C34C4-FE31-437A-A277-934283494373}"/>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7" name="Text 13327">
          <a:extLst>
            <a:ext uri="{FF2B5EF4-FFF2-40B4-BE49-F238E27FC236}">
              <a16:creationId xmlns:a16="http://schemas.microsoft.com/office/drawing/2014/main" id="{58B83BFD-C3B7-4B96-B33B-522D1A9E2018}"/>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8" name="Text 13328">
          <a:extLst>
            <a:ext uri="{FF2B5EF4-FFF2-40B4-BE49-F238E27FC236}">
              <a16:creationId xmlns:a16="http://schemas.microsoft.com/office/drawing/2014/main" id="{30A865A6-ADC8-45F8-8837-1FBD207E51C4}"/>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39" name="Text 13329">
          <a:extLst>
            <a:ext uri="{FF2B5EF4-FFF2-40B4-BE49-F238E27FC236}">
              <a16:creationId xmlns:a16="http://schemas.microsoft.com/office/drawing/2014/main" id="{9BCEE706-77F1-4310-8645-F9C483FF0E4E}"/>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0" name="Text 13330">
          <a:extLst>
            <a:ext uri="{FF2B5EF4-FFF2-40B4-BE49-F238E27FC236}">
              <a16:creationId xmlns:a16="http://schemas.microsoft.com/office/drawing/2014/main" id="{1FCA8DA3-9068-4235-9F60-BD3A4CFD7D89}"/>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1" name="Text 13331">
          <a:extLst>
            <a:ext uri="{FF2B5EF4-FFF2-40B4-BE49-F238E27FC236}">
              <a16:creationId xmlns:a16="http://schemas.microsoft.com/office/drawing/2014/main" id="{BC77CEEA-2850-47DD-83BE-047E31D483C9}"/>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2" name="Text 13332">
          <a:extLst>
            <a:ext uri="{FF2B5EF4-FFF2-40B4-BE49-F238E27FC236}">
              <a16:creationId xmlns:a16="http://schemas.microsoft.com/office/drawing/2014/main" id="{A23A1AE0-19FE-430C-9EED-B83F7EF0C94B}"/>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3" name="Text 13315">
          <a:extLst>
            <a:ext uri="{FF2B5EF4-FFF2-40B4-BE49-F238E27FC236}">
              <a16:creationId xmlns:a16="http://schemas.microsoft.com/office/drawing/2014/main" id="{0C2FC4B6-1B62-4E91-859D-35B57112F893}"/>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4" name="Text 13316">
          <a:extLst>
            <a:ext uri="{FF2B5EF4-FFF2-40B4-BE49-F238E27FC236}">
              <a16:creationId xmlns:a16="http://schemas.microsoft.com/office/drawing/2014/main" id="{386F8139-28BD-4930-A848-004937073FCF}"/>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5" name="Text 13317">
          <a:extLst>
            <a:ext uri="{FF2B5EF4-FFF2-40B4-BE49-F238E27FC236}">
              <a16:creationId xmlns:a16="http://schemas.microsoft.com/office/drawing/2014/main" id="{BC97F434-8C02-48FC-A4E4-A4FABB873610}"/>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6" name="Text 13318">
          <a:extLst>
            <a:ext uri="{FF2B5EF4-FFF2-40B4-BE49-F238E27FC236}">
              <a16:creationId xmlns:a16="http://schemas.microsoft.com/office/drawing/2014/main" id="{1644A941-4EEC-432C-92E9-07EC3CA3AE59}"/>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7" name="Text 13319">
          <a:extLst>
            <a:ext uri="{FF2B5EF4-FFF2-40B4-BE49-F238E27FC236}">
              <a16:creationId xmlns:a16="http://schemas.microsoft.com/office/drawing/2014/main" id="{98349887-3507-4FFB-B111-2BDF261EF8E1}"/>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8" name="Text 13320">
          <a:extLst>
            <a:ext uri="{FF2B5EF4-FFF2-40B4-BE49-F238E27FC236}">
              <a16:creationId xmlns:a16="http://schemas.microsoft.com/office/drawing/2014/main" id="{6E31A1F9-DEE7-42F7-8B21-CAC6441335EA}"/>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49" name="Text 13321">
          <a:extLst>
            <a:ext uri="{FF2B5EF4-FFF2-40B4-BE49-F238E27FC236}">
              <a16:creationId xmlns:a16="http://schemas.microsoft.com/office/drawing/2014/main" id="{E8D4B70F-D764-4FCB-9D57-7A412C1D7B48}"/>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0" name="Text 13322">
          <a:extLst>
            <a:ext uri="{FF2B5EF4-FFF2-40B4-BE49-F238E27FC236}">
              <a16:creationId xmlns:a16="http://schemas.microsoft.com/office/drawing/2014/main" id="{F12626ED-10BA-478E-8E43-70ADD11B0E2B}"/>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1" name="Text 13323">
          <a:extLst>
            <a:ext uri="{FF2B5EF4-FFF2-40B4-BE49-F238E27FC236}">
              <a16:creationId xmlns:a16="http://schemas.microsoft.com/office/drawing/2014/main" id="{3E520131-D05B-4FCA-AE1F-1FB2BE67F80B}"/>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2" name="Text 13324">
          <a:extLst>
            <a:ext uri="{FF2B5EF4-FFF2-40B4-BE49-F238E27FC236}">
              <a16:creationId xmlns:a16="http://schemas.microsoft.com/office/drawing/2014/main" id="{B31E295F-5335-42E7-9541-F0277418B7D0}"/>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3" name="Text 13325">
          <a:extLst>
            <a:ext uri="{FF2B5EF4-FFF2-40B4-BE49-F238E27FC236}">
              <a16:creationId xmlns:a16="http://schemas.microsoft.com/office/drawing/2014/main" id="{DD48B575-D334-46C6-89B6-C6C4D9B7D41A}"/>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4" name="Text 13326">
          <a:extLst>
            <a:ext uri="{FF2B5EF4-FFF2-40B4-BE49-F238E27FC236}">
              <a16:creationId xmlns:a16="http://schemas.microsoft.com/office/drawing/2014/main" id="{EFB69FDD-CE53-4EBB-B220-2CD60E0E012A}"/>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5" name="Text 13327">
          <a:extLst>
            <a:ext uri="{FF2B5EF4-FFF2-40B4-BE49-F238E27FC236}">
              <a16:creationId xmlns:a16="http://schemas.microsoft.com/office/drawing/2014/main" id="{623C0C97-88CB-4FAC-8094-25C6753AC2BB}"/>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6" name="Text 13328">
          <a:extLst>
            <a:ext uri="{FF2B5EF4-FFF2-40B4-BE49-F238E27FC236}">
              <a16:creationId xmlns:a16="http://schemas.microsoft.com/office/drawing/2014/main" id="{F2BDBD95-E42F-4AAA-A2FD-256CA4781B2D}"/>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7" name="Text 13329">
          <a:extLst>
            <a:ext uri="{FF2B5EF4-FFF2-40B4-BE49-F238E27FC236}">
              <a16:creationId xmlns:a16="http://schemas.microsoft.com/office/drawing/2014/main" id="{6F1ABBDE-E5DE-4574-88CA-DCCC60B38B48}"/>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8" name="Text 13330">
          <a:extLst>
            <a:ext uri="{FF2B5EF4-FFF2-40B4-BE49-F238E27FC236}">
              <a16:creationId xmlns:a16="http://schemas.microsoft.com/office/drawing/2014/main" id="{DD328C7E-4F3B-4D43-BEC5-66424D2A9C8F}"/>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59" name="Text 13331">
          <a:extLst>
            <a:ext uri="{FF2B5EF4-FFF2-40B4-BE49-F238E27FC236}">
              <a16:creationId xmlns:a16="http://schemas.microsoft.com/office/drawing/2014/main" id="{B8E158E8-DD1A-4622-B17D-7E278226ACC2}"/>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oneCellAnchor>
    <xdr:from>
      <xdr:col>2</xdr:col>
      <xdr:colOff>2019300</xdr:colOff>
      <xdr:row>19</xdr:row>
      <xdr:rowOff>0</xdr:rowOff>
    </xdr:from>
    <xdr:ext cx="0" cy="209550"/>
    <xdr:sp macro="" textlink="">
      <xdr:nvSpPr>
        <xdr:cNvPr id="60" name="Text 13332">
          <a:extLst>
            <a:ext uri="{FF2B5EF4-FFF2-40B4-BE49-F238E27FC236}">
              <a16:creationId xmlns:a16="http://schemas.microsoft.com/office/drawing/2014/main" id="{16814CD8-AABB-4FE3-975C-3E3C7638C094}"/>
            </a:ext>
          </a:extLst>
        </xdr:cNvPr>
        <xdr:cNvSpPr txBox="1">
          <a:spLocks noChangeArrowheads="1"/>
        </xdr:cNvSpPr>
      </xdr:nvSpPr>
      <xdr:spPr bwMode="auto">
        <a:xfrm>
          <a:off x="3276600" y="8296275"/>
          <a:ext cx="0" cy="209550"/>
        </a:xfrm>
        <a:prstGeom prst="rect">
          <a:avLst/>
        </a:prstGeom>
        <a:noFill/>
        <a:ln w="9525">
          <a:noFill/>
          <a:miter lim="800000"/>
          <a:headEnd/>
          <a:tailEnd/>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D445-DF17-40FF-9E16-96BFBDDD5418}">
  <sheetPr>
    <pageSetUpPr fitToPage="1"/>
  </sheetPr>
  <dimension ref="A1:K25"/>
  <sheetViews>
    <sheetView view="pageBreakPreview" topLeftCell="A17" zoomScale="84" zoomScaleNormal="40" zoomScaleSheetLayoutView="84" workbookViewId="0">
      <selection activeCell="F36" sqref="F36"/>
    </sheetView>
  </sheetViews>
  <sheetFormatPr defaultColWidth="9.16796875" defaultRowHeight="15" x14ac:dyDescent="0.2"/>
  <cols>
    <col min="1" max="2" width="5.66015625" style="49" customWidth="1"/>
    <col min="3" max="3" width="60.14453125" style="50" customWidth="1"/>
    <col min="4" max="4" width="6.60546875" style="51" customWidth="1"/>
    <col min="5" max="5" width="7.8203125" style="51" customWidth="1"/>
    <col min="6" max="6" width="20.6328125" style="52" customWidth="1"/>
    <col min="7" max="7" width="19.1484375" style="52" customWidth="1"/>
    <col min="8" max="16384" width="9.16796875" style="53"/>
  </cols>
  <sheetData>
    <row r="1" spans="1:10" s="4" customFormat="1" ht="27.75" customHeight="1" x14ac:dyDescent="0.15">
      <c r="A1" s="1" t="s">
        <v>0</v>
      </c>
      <c r="B1" s="1"/>
      <c r="C1" s="237" t="s">
        <v>1</v>
      </c>
      <c r="D1" s="237"/>
      <c r="E1" s="237"/>
      <c r="F1" s="2"/>
      <c r="G1" s="3"/>
    </row>
    <row r="2" spans="1:10" s="4" customFormat="1" ht="22.5" customHeight="1" x14ac:dyDescent="0.15">
      <c r="A2" s="1" t="s">
        <v>2</v>
      </c>
      <c r="B2" s="1"/>
      <c r="C2" s="238" t="s">
        <v>3</v>
      </c>
      <c r="D2" s="238"/>
      <c r="E2" s="238"/>
      <c r="F2" s="5"/>
      <c r="G2" s="3"/>
    </row>
    <row r="3" spans="1:10" s="4" customFormat="1" ht="22.5" customHeight="1" x14ac:dyDescent="0.15">
      <c r="A3" s="6" t="s">
        <v>4</v>
      </c>
      <c r="B3" s="6"/>
      <c r="C3" s="239"/>
      <c r="D3" s="239"/>
      <c r="E3" s="239"/>
      <c r="F3" s="8"/>
      <c r="G3" s="9"/>
    </row>
    <row r="4" spans="1:10" s="4" customFormat="1" ht="63.75" customHeight="1" thickBot="1" x14ac:dyDescent="0.2">
      <c r="A4" s="6" t="s">
        <v>5</v>
      </c>
      <c r="B4" s="6"/>
      <c r="C4" s="240" t="s">
        <v>6</v>
      </c>
      <c r="D4" s="240"/>
      <c r="E4" s="240"/>
      <c r="F4" s="7"/>
      <c r="G4" s="9"/>
    </row>
    <row r="5" spans="1:10" s="15" customFormat="1" ht="15.6" customHeight="1" thickBot="1" x14ac:dyDescent="0.2">
      <c r="A5" s="235" t="s">
        <v>7</v>
      </c>
      <c r="B5" s="236"/>
      <c r="C5" s="11" t="s">
        <v>8</v>
      </c>
      <c r="D5" s="12" t="s">
        <v>9</v>
      </c>
      <c r="E5" s="13" t="s">
        <v>10</v>
      </c>
      <c r="F5" s="13" t="s">
        <v>11</v>
      </c>
      <c r="G5" s="14" t="s">
        <v>12</v>
      </c>
    </row>
    <row r="6" spans="1:10" s="20" customFormat="1" ht="14.25" x14ac:dyDescent="0.15">
      <c r="A6" s="16"/>
      <c r="B6" s="16"/>
      <c r="C6" s="17"/>
      <c r="D6" s="18"/>
      <c r="E6" s="18"/>
      <c r="F6" s="19"/>
      <c r="G6" s="19"/>
    </row>
    <row r="7" spans="1:10" s="4" customFormat="1" ht="39" customHeight="1" x14ac:dyDescent="0.15">
      <c r="A7" s="21">
        <v>1</v>
      </c>
      <c r="B7" s="21"/>
      <c r="C7" s="22" t="s">
        <v>13</v>
      </c>
      <c r="D7" s="23"/>
      <c r="E7" s="24"/>
      <c r="F7" s="25"/>
      <c r="G7" s="25"/>
    </row>
    <row r="8" spans="1:10" s="4" customFormat="1" ht="39" customHeight="1" x14ac:dyDescent="0.15">
      <c r="A8" s="21"/>
      <c r="B8" s="21"/>
      <c r="C8" s="26" t="s">
        <v>14</v>
      </c>
      <c r="D8" s="23"/>
      <c r="E8" s="24"/>
      <c r="F8" s="25"/>
      <c r="G8" s="25"/>
    </row>
    <row r="9" spans="1:10" s="4" customFormat="1" ht="72.75" customHeight="1" x14ac:dyDescent="0.15">
      <c r="A9" s="21"/>
      <c r="B9" s="21"/>
      <c r="C9" s="26" t="s">
        <v>15</v>
      </c>
      <c r="D9" s="23"/>
      <c r="E9" s="24"/>
      <c r="F9" s="25"/>
      <c r="G9" s="25"/>
    </row>
    <row r="10" spans="1:10" s="4" customFormat="1" ht="283.5" customHeight="1" x14ac:dyDescent="0.15">
      <c r="A10" s="21"/>
      <c r="B10" s="21"/>
      <c r="C10" s="26" t="s">
        <v>16</v>
      </c>
      <c r="D10" s="23"/>
      <c r="E10" s="24"/>
      <c r="F10" s="25"/>
      <c r="G10" s="25"/>
    </row>
    <row r="11" spans="1:10" s="4" customFormat="1" x14ac:dyDescent="0.15">
      <c r="A11" s="27"/>
      <c r="B11" s="27"/>
      <c r="C11" s="28"/>
      <c r="D11" s="29"/>
      <c r="E11" s="30"/>
      <c r="F11" s="31"/>
      <c r="G11" s="31"/>
    </row>
    <row r="12" spans="1:10" s="4" customFormat="1" ht="18" customHeight="1" x14ac:dyDescent="0.15">
      <c r="A12" s="27">
        <v>1.1000000000000001</v>
      </c>
      <c r="B12" s="27"/>
      <c r="C12" s="32" t="s">
        <v>17</v>
      </c>
      <c r="D12" s="23"/>
      <c r="E12" s="24"/>
      <c r="F12" s="25"/>
      <c r="G12" s="25"/>
    </row>
    <row r="13" spans="1:10" s="4" customFormat="1" ht="171.75" customHeight="1" x14ac:dyDescent="0.15">
      <c r="A13" s="21"/>
      <c r="B13" s="21"/>
      <c r="C13" s="26" t="s">
        <v>18</v>
      </c>
      <c r="D13" s="23"/>
      <c r="E13" s="24"/>
      <c r="F13" s="25"/>
      <c r="G13" s="25"/>
    </row>
    <row r="14" spans="1:10" s="4" customFormat="1" x14ac:dyDescent="0.15">
      <c r="A14" s="27"/>
      <c r="B14" s="27"/>
      <c r="C14" s="28"/>
      <c r="D14" s="29"/>
      <c r="E14" s="30"/>
      <c r="F14" s="31"/>
      <c r="G14" s="31"/>
    </row>
    <row r="15" spans="1:10" s="4" customFormat="1" ht="39" customHeight="1" x14ac:dyDescent="0.15">
      <c r="A15" s="27" t="s">
        <v>19</v>
      </c>
      <c r="B15" s="27"/>
      <c r="C15" s="33" t="s">
        <v>20</v>
      </c>
      <c r="D15" s="34" t="s">
        <v>21</v>
      </c>
      <c r="E15" s="34">
        <v>1091</v>
      </c>
      <c r="F15" s="35">
        <v>36</v>
      </c>
      <c r="G15" s="35">
        <f>F15*E15</f>
        <v>39276</v>
      </c>
    </row>
    <row r="16" spans="1:10" s="4" customFormat="1" ht="14.25" x14ac:dyDescent="0.15">
      <c r="A16" s="27"/>
      <c r="B16" s="27"/>
      <c r="C16" s="28"/>
      <c r="D16" s="29"/>
      <c r="E16" s="30"/>
      <c r="F16" s="29"/>
      <c r="G16" s="29"/>
    </row>
    <row r="17" spans="1:11" s="4" customFormat="1" ht="14.25" x14ac:dyDescent="0.15">
      <c r="A17" s="27"/>
      <c r="B17" s="27"/>
      <c r="C17" s="28"/>
      <c r="D17" s="29"/>
      <c r="E17" s="30"/>
      <c r="F17" s="29"/>
      <c r="G17" s="29"/>
    </row>
    <row r="18" spans="1:11" s="37" customFormat="1" ht="120" x14ac:dyDescent="0.15">
      <c r="A18" s="27">
        <v>1.2</v>
      </c>
      <c r="B18" s="27"/>
      <c r="C18" s="32" t="s">
        <v>22</v>
      </c>
      <c r="D18" s="34"/>
      <c r="E18" s="36"/>
      <c r="F18" s="34"/>
      <c r="G18" s="34"/>
    </row>
    <row r="19" spans="1:11" s="4" customFormat="1" ht="27" x14ac:dyDescent="0.15">
      <c r="A19" s="27"/>
      <c r="B19" s="27"/>
      <c r="C19" s="26" t="s">
        <v>23</v>
      </c>
      <c r="D19" s="29"/>
      <c r="E19" s="30"/>
      <c r="F19" s="29"/>
      <c r="G19" s="29"/>
    </row>
    <row r="20" spans="1:11" s="4" customFormat="1" ht="51.75" x14ac:dyDescent="0.15">
      <c r="A20" s="27" t="s">
        <v>24</v>
      </c>
      <c r="B20" s="27"/>
      <c r="C20" s="33" t="s">
        <v>25</v>
      </c>
      <c r="D20" s="34" t="s">
        <v>21</v>
      </c>
      <c r="E20" s="34">
        <v>655</v>
      </c>
      <c r="F20" s="35">
        <v>74</v>
      </c>
      <c r="G20" s="35">
        <f>F20*E20</f>
        <v>48470</v>
      </c>
    </row>
    <row r="21" spans="1:11" s="4" customFormat="1" ht="39" customHeight="1" x14ac:dyDescent="0.15">
      <c r="A21" s="27" t="s">
        <v>26</v>
      </c>
      <c r="B21" s="27"/>
      <c r="C21" s="33" t="s">
        <v>27</v>
      </c>
      <c r="D21" s="34" t="s">
        <v>21</v>
      </c>
      <c r="E21" s="34">
        <v>5635</v>
      </c>
      <c r="F21" s="35">
        <v>37</v>
      </c>
      <c r="G21" s="35">
        <f>F21*E21</f>
        <v>208495</v>
      </c>
    </row>
    <row r="22" spans="1:11" s="4" customFormat="1" ht="24.75" x14ac:dyDescent="0.15">
      <c r="A22" s="27" t="s">
        <v>28</v>
      </c>
      <c r="B22" s="27"/>
      <c r="C22" s="33" t="s">
        <v>29</v>
      </c>
      <c r="D22" s="34" t="s">
        <v>21</v>
      </c>
      <c r="E22" s="34">
        <v>285</v>
      </c>
      <c r="F22" s="35">
        <v>69</v>
      </c>
      <c r="G22" s="35">
        <f>F22*E22</f>
        <v>19665</v>
      </c>
    </row>
    <row r="23" spans="1:11" s="4" customFormat="1" ht="49.5" x14ac:dyDescent="0.15">
      <c r="A23" s="198" t="s">
        <v>571</v>
      </c>
      <c r="B23" s="198"/>
      <c r="C23" s="202" t="s">
        <v>572</v>
      </c>
      <c r="D23" s="199" t="s">
        <v>92</v>
      </c>
      <c r="E23" s="199">
        <v>1</v>
      </c>
      <c r="F23" s="35">
        <v>5503</v>
      </c>
      <c r="G23" s="35">
        <f>F23*E23</f>
        <v>5503</v>
      </c>
    </row>
    <row r="24" spans="1:11" s="37" customFormat="1" ht="16.5" thickBot="1" x14ac:dyDescent="0.25">
      <c r="A24" s="27"/>
      <c r="B24" s="39"/>
      <c r="C24" s="40"/>
      <c r="D24" s="34"/>
      <c r="E24" s="36"/>
      <c r="F24" s="41"/>
      <c r="G24" s="42"/>
    </row>
    <row r="25" spans="1:11" s="37" customFormat="1" ht="15" customHeight="1" thickBot="1" x14ac:dyDescent="0.2">
      <c r="A25" s="43" t="s">
        <v>30</v>
      </c>
      <c r="B25" s="44"/>
      <c r="C25" s="45"/>
      <c r="D25" s="46"/>
      <c r="E25" s="46"/>
      <c r="F25" s="47"/>
      <c r="G25" s="229">
        <f>SUM(G15:G24)</f>
        <v>321409</v>
      </c>
    </row>
  </sheetData>
  <mergeCells count="5">
    <mergeCell ref="A5:B5"/>
    <mergeCell ref="C1:E1"/>
    <mergeCell ref="C2:E2"/>
    <mergeCell ref="C3:E3"/>
    <mergeCell ref="C4:E4"/>
  </mergeCells>
  <printOptions horizontalCentered="1"/>
  <pageMargins left="0.70866141732283472" right="0.70866141732283472" top="0.74803149606299213" bottom="0.74803149606299213" header="0.31496062992125984" footer="0.31496062992125984"/>
  <pageSetup paperSize="9" scale="58"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5D3C-01D8-4A68-9C87-C5E7FC71DDBA}">
  <sheetPr>
    <pageSetUpPr fitToPage="1"/>
  </sheetPr>
  <dimension ref="A1:M42"/>
  <sheetViews>
    <sheetView view="pageBreakPreview" topLeftCell="H17" zoomScaleNormal="40" zoomScaleSheetLayoutView="100" workbookViewId="0">
      <selection activeCell="E17" sqref="E17"/>
    </sheetView>
  </sheetViews>
  <sheetFormatPr defaultColWidth="9.16796875" defaultRowHeight="15" x14ac:dyDescent="0.2"/>
  <cols>
    <col min="1" max="2" width="5.66015625" style="49" customWidth="1"/>
    <col min="3" max="3" width="58.12109375" style="50" customWidth="1"/>
    <col min="4" max="4" width="7.55078125" style="51" customWidth="1"/>
    <col min="5" max="5" width="7.28125" style="51" customWidth="1"/>
    <col min="6" max="6" width="20.6328125" style="52" customWidth="1"/>
    <col min="7" max="7" width="19.1484375" style="52" customWidth="1"/>
    <col min="8" max="9" width="9.16796875" style="59"/>
    <col min="10" max="12" width="11.59375" style="59" bestFit="1" customWidth="1"/>
    <col min="13" max="16384" width="9.16796875" style="59"/>
  </cols>
  <sheetData>
    <row r="1" spans="1:12" s="4" customFormat="1" ht="21" customHeight="1" x14ac:dyDescent="0.15">
      <c r="A1" s="1" t="s">
        <v>0</v>
      </c>
      <c r="B1" s="1"/>
      <c r="C1" s="237" t="s">
        <v>1</v>
      </c>
      <c r="D1" s="237"/>
      <c r="E1" s="237"/>
      <c r="F1" s="2"/>
      <c r="G1" s="3"/>
    </row>
    <row r="2" spans="1:12" s="4" customFormat="1" ht="22.5" customHeight="1" x14ac:dyDescent="0.15">
      <c r="A2" s="1" t="s">
        <v>2</v>
      </c>
      <c r="B2" s="1"/>
      <c r="C2" s="238" t="s">
        <v>3</v>
      </c>
      <c r="D2" s="238"/>
      <c r="E2" s="238"/>
      <c r="F2" s="5"/>
      <c r="G2" s="3"/>
    </row>
    <row r="3" spans="1:12" s="4" customFormat="1" ht="22.5" customHeight="1" x14ac:dyDescent="0.15">
      <c r="A3" s="6" t="s">
        <v>4</v>
      </c>
      <c r="B3" s="6"/>
      <c r="C3" s="239"/>
      <c r="D3" s="239"/>
      <c r="E3" s="239"/>
      <c r="F3" s="8"/>
      <c r="G3" s="9"/>
    </row>
    <row r="4" spans="1:12" s="4" customFormat="1" ht="15.75" customHeight="1" thickBot="1" x14ac:dyDescent="0.2">
      <c r="A4" s="6" t="s">
        <v>5</v>
      </c>
      <c r="B4" s="6"/>
      <c r="C4" s="240" t="s">
        <v>31</v>
      </c>
      <c r="D4" s="240"/>
      <c r="E4" s="240"/>
      <c r="F4" s="7"/>
      <c r="G4" s="9"/>
    </row>
    <row r="5" spans="1:12" s="15" customFormat="1" ht="17.25" customHeight="1" thickBot="1" x14ac:dyDescent="0.2">
      <c r="A5" s="235" t="s">
        <v>7</v>
      </c>
      <c r="B5" s="236"/>
      <c r="C5" s="11" t="s">
        <v>8</v>
      </c>
      <c r="D5" s="12" t="s">
        <v>9</v>
      </c>
      <c r="E5" s="13" t="s">
        <v>10</v>
      </c>
      <c r="F5" s="13" t="s">
        <v>11</v>
      </c>
      <c r="G5" s="14" t="s">
        <v>12</v>
      </c>
    </row>
    <row r="6" spans="1:12" s="20" customFormat="1" ht="14.25" x14ac:dyDescent="0.15">
      <c r="A6" s="16"/>
      <c r="B6" s="16"/>
      <c r="C6" s="17"/>
      <c r="D6" s="18"/>
      <c r="E6" s="18"/>
      <c r="F6" s="19"/>
      <c r="G6" s="19"/>
    </row>
    <row r="7" spans="1:12" s="4" customFormat="1" ht="25.5" customHeight="1" x14ac:dyDescent="0.15">
      <c r="A7" s="21">
        <v>2</v>
      </c>
      <c r="B7" s="21"/>
      <c r="C7" s="22" t="s">
        <v>32</v>
      </c>
      <c r="D7" s="23"/>
      <c r="E7" s="24"/>
      <c r="F7" s="25"/>
      <c r="G7" s="25"/>
    </row>
    <row r="8" spans="1:12" s="37" customFormat="1" ht="14.25" x14ac:dyDescent="0.15">
      <c r="A8" s="21"/>
      <c r="B8" s="21"/>
      <c r="C8" s="26"/>
      <c r="D8" s="23"/>
      <c r="E8" s="24"/>
      <c r="F8" s="25"/>
      <c r="G8" s="25"/>
    </row>
    <row r="9" spans="1:12" s="20" customFormat="1" ht="37.5" customHeight="1" x14ac:dyDescent="0.15">
      <c r="A9" s="21"/>
      <c r="B9" s="21"/>
      <c r="C9" s="26" t="s">
        <v>33</v>
      </c>
      <c r="D9" s="23"/>
      <c r="E9" s="24"/>
      <c r="F9" s="25"/>
      <c r="G9" s="25"/>
    </row>
    <row r="10" spans="1:12" s="37" customFormat="1" ht="14.25" x14ac:dyDescent="0.15">
      <c r="A10" s="21"/>
      <c r="B10" s="21"/>
      <c r="C10" s="26"/>
      <c r="D10" s="23"/>
      <c r="E10" s="24"/>
      <c r="F10" s="25"/>
      <c r="G10" s="25"/>
    </row>
    <row r="11" spans="1:12" s="37" customFormat="1" ht="192" customHeight="1" x14ac:dyDescent="0.15">
      <c r="A11" s="27"/>
      <c r="B11" s="27"/>
      <c r="C11" s="54" t="s">
        <v>34</v>
      </c>
      <c r="D11" s="29"/>
      <c r="E11" s="30"/>
      <c r="F11" s="31"/>
      <c r="G11" s="31"/>
    </row>
    <row r="12" spans="1:12" s="37" customFormat="1" ht="14.25" x14ac:dyDescent="0.15">
      <c r="A12" s="27"/>
      <c r="B12" s="27"/>
      <c r="C12" s="32"/>
      <c r="D12" s="23"/>
      <c r="E12" s="24"/>
      <c r="F12" s="25"/>
      <c r="G12" s="25"/>
    </row>
    <row r="13" spans="1:12" s="37" customFormat="1" ht="27" customHeight="1" x14ac:dyDescent="0.15">
      <c r="A13" s="21"/>
      <c r="B13" s="21"/>
      <c r="C13" s="26" t="s">
        <v>35</v>
      </c>
      <c r="D13" s="23"/>
      <c r="E13" s="24"/>
      <c r="F13" s="25"/>
      <c r="G13" s="25"/>
    </row>
    <row r="14" spans="1:12" s="37" customFormat="1" ht="25.5" customHeight="1" x14ac:dyDescent="0.15">
      <c r="A14" s="27"/>
      <c r="B14" s="27"/>
      <c r="C14" s="26"/>
      <c r="D14" s="29"/>
      <c r="E14" s="30"/>
      <c r="F14" s="29"/>
      <c r="G14" s="29"/>
    </row>
    <row r="15" spans="1:12" s="37" customFormat="1" ht="18" x14ac:dyDescent="0.15">
      <c r="A15" s="34">
        <v>2.1</v>
      </c>
      <c r="B15" s="27"/>
      <c r="C15" s="26" t="s">
        <v>36</v>
      </c>
      <c r="D15" s="55" t="s">
        <v>21</v>
      </c>
      <c r="E15" s="24">
        <v>45</v>
      </c>
      <c r="F15" s="35">
        <v>379</v>
      </c>
      <c r="G15" s="35">
        <f>F15*E15</f>
        <v>17055</v>
      </c>
    </row>
    <row r="16" spans="1:12" s="37" customFormat="1" ht="14.25" x14ac:dyDescent="0.15">
      <c r="A16" s="34"/>
      <c r="B16" s="27"/>
      <c r="C16" s="26"/>
      <c r="D16" s="34"/>
      <c r="E16" s="36"/>
      <c r="F16" s="34"/>
      <c r="G16" s="34"/>
    </row>
    <row r="17" spans="1:13" s="37" customFormat="1" ht="27.75" customHeight="1" x14ac:dyDescent="0.15">
      <c r="A17" s="34">
        <v>2.2000000000000002</v>
      </c>
      <c r="B17" s="27"/>
      <c r="C17" s="26" t="s">
        <v>37</v>
      </c>
      <c r="D17" s="55" t="s">
        <v>21</v>
      </c>
      <c r="E17" s="210">
        <v>221</v>
      </c>
      <c r="F17" s="35">
        <v>890</v>
      </c>
      <c r="G17" s="35">
        <f>F17*E17</f>
        <v>196690</v>
      </c>
    </row>
    <row r="18" spans="1:13" s="37" customFormat="1" ht="14.25" x14ac:dyDescent="0.15">
      <c r="A18" s="34"/>
      <c r="B18" s="27"/>
      <c r="C18" s="26"/>
      <c r="D18" s="55"/>
      <c r="E18" s="24"/>
      <c r="F18" s="34"/>
      <c r="G18" s="34"/>
    </row>
    <row r="19" spans="1:13" s="37" customFormat="1" ht="25.5" customHeight="1" x14ac:dyDescent="0.15">
      <c r="A19" s="34">
        <v>2.2999999999999998</v>
      </c>
      <c r="B19" s="39"/>
      <c r="C19" s="26" t="s">
        <v>38</v>
      </c>
      <c r="D19" s="55" t="s">
        <v>21</v>
      </c>
      <c r="E19" s="209">
        <v>29</v>
      </c>
      <c r="F19" s="35">
        <v>2165</v>
      </c>
      <c r="G19" s="35">
        <f>F19*E19</f>
        <v>62785</v>
      </c>
    </row>
    <row r="20" spans="1:13" s="37" customFormat="1" ht="14.25" x14ac:dyDescent="0.15">
      <c r="A20" s="34"/>
      <c r="B20" s="27"/>
      <c r="C20" s="26"/>
      <c r="D20" s="55"/>
      <c r="E20" s="24"/>
      <c r="F20" s="34"/>
      <c r="G20" s="34"/>
    </row>
    <row r="21" spans="1:13" s="37" customFormat="1" ht="27" customHeight="1" x14ac:dyDescent="0.15">
      <c r="A21" s="34">
        <v>2.4</v>
      </c>
      <c r="B21" s="39"/>
      <c r="C21" s="26" t="s">
        <v>39</v>
      </c>
      <c r="D21" s="55" t="s">
        <v>21</v>
      </c>
      <c r="E21" s="24">
        <v>28</v>
      </c>
      <c r="F21" s="35">
        <v>379</v>
      </c>
      <c r="G21" s="35">
        <f>F21*E21</f>
        <v>10612</v>
      </c>
    </row>
    <row r="22" spans="1:13" s="37" customFormat="1" x14ac:dyDescent="0.15">
      <c r="A22" s="34"/>
      <c r="B22" s="27"/>
      <c r="C22" s="26"/>
      <c r="D22" s="55"/>
      <c r="E22" s="24"/>
      <c r="F22" s="31"/>
      <c r="G22" s="31"/>
    </row>
    <row r="23" spans="1:13" s="4" customFormat="1" ht="21.75" customHeight="1" x14ac:dyDescent="0.15">
      <c r="A23" s="34">
        <v>2.5</v>
      </c>
      <c r="B23" s="21"/>
      <c r="C23" s="26" t="s">
        <v>40</v>
      </c>
      <c r="D23" s="55" t="s">
        <v>21</v>
      </c>
      <c r="E23" s="24">
        <v>118</v>
      </c>
      <c r="F23" s="35">
        <v>1315</v>
      </c>
      <c r="G23" s="35">
        <f>F23*E23</f>
        <v>155170</v>
      </c>
    </row>
    <row r="24" spans="1:13" s="4" customFormat="1" x14ac:dyDescent="0.15">
      <c r="A24" s="34"/>
      <c r="B24" s="27"/>
      <c r="C24" s="26"/>
      <c r="D24" s="55"/>
      <c r="E24" s="24"/>
      <c r="F24" s="31"/>
      <c r="G24" s="31"/>
    </row>
    <row r="25" spans="1:13" s="37" customFormat="1" ht="14.25" x14ac:dyDescent="0.15">
      <c r="A25" s="34">
        <v>2.6</v>
      </c>
      <c r="B25" s="27"/>
      <c r="C25" s="26" t="s">
        <v>41</v>
      </c>
      <c r="D25" s="55" t="s">
        <v>21</v>
      </c>
      <c r="E25" s="24">
        <v>197</v>
      </c>
      <c r="F25" s="35">
        <v>764</v>
      </c>
      <c r="G25" s="35">
        <f>F25*E25</f>
        <v>150508</v>
      </c>
    </row>
    <row r="26" spans="1:13" s="37" customFormat="1" ht="14.25" x14ac:dyDescent="0.15">
      <c r="A26" s="34"/>
      <c r="B26" s="27"/>
      <c r="C26" s="26"/>
      <c r="D26" s="55"/>
      <c r="E26" s="24"/>
      <c r="F26" s="29"/>
      <c r="G26" s="29"/>
    </row>
    <row r="27" spans="1:13" s="37" customFormat="1" ht="14.25" x14ac:dyDescent="0.15">
      <c r="A27" s="34">
        <v>2.7</v>
      </c>
      <c r="B27" s="27"/>
      <c r="C27" s="26" t="s">
        <v>607</v>
      </c>
      <c r="D27" s="55" t="s">
        <v>21</v>
      </c>
      <c r="E27" s="209">
        <v>57</v>
      </c>
      <c r="F27" s="35">
        <v>1448</v>
      </c>
      <c r="G27" s="35">
        <f>F27*E27</f>
        <v>82536</v>
      </c>
    </row>
    <row r="28" spans="1:13" s="37" customFormat="1" ht="14.25" x14ac:dyDescent="0.15">
      <c r="A28" s="34"/>
      <c r="B28" s="27"/>
      <c r="C28" s="26"/>
      <c r="D28" s="55"/>
      <c r="E28" s="24"/>
      <c r="F28" s="29"/>
      <c r="G28" s="29"/>
    </row>
    <row r="29" spans="1:13" s="37" customFormat="1" ht="14.25" x14ac:dyDescent="0.15">
      <c r="A29" s="34">
        <v>2.8</v>
      </c>
      <c r="B29" s="27"/>
      <c r="C29" s="26" t="s">
        <v>42</v>
      </c>
      <c r="D29" s="55" t="s">
        <v>21</v>
      </c>
      <c r="E29" s="209">
        <v>173</v>
      </c>
      <c r="F29" s="35">
        <v>1315</v>
      </c>
      <c r="G29" s="35">
        <f>F29*E29</f>
        <v>227495</v>
      </c>
    </row>
    <row r="30" spans="1:13" s="37" customFormat="1" ht="14.25" x14ac:dyDescent="0.15">
      <c r="A30" s="34"/>
      <c r="B30" s="27"/>
      <c r="C30" s="26"/>
      <c r="D30" s="55"/>
      <c r="E30" s="24"/>
      <c r="F30" s="29"/>
      <c r="G30" s="29"/>
    </row>
    <row r="31" spans="1:13" s="37" customFormat="1" ht="27" x14ac:dyDescent="0.15">
      <c r="A31" s="34">
        <v>2.9</v>
      </c>
      <c r="B31" s="27"/>
      <c r="C31" s="26" t="s">
        <v>43</v>
      </c>
      <c r="D31" s="55" t="s">
        <v>21</v>
      </c>
      <c r="E31" s="24">
        <v>33</v>
      </c>
      <c r="F31" s="35">
        <v>1065</v>
      </c>
      <c r="G31" s="35">
        <f>F31*E31</f>
        <v>35145</v>
      </c>
    </row>
    <row r="32" spans="1:13" s="37" customFormat="1" ht="14.25" x14ac:dyDescent="0.15">
      <c r="A32" s="34"/>
      <c r="B32" s="27"/>
      <c r="C32" s="26"/>
      <c r="D32" s="55"/>
      <c r="E32" s="24"/>
      <c r="F32" s="29"/>
      <c r="G32" s="29"/>
    </row>
    <row r="33" spans="1:12" s="37" customFormat="1" ht="27" x14ac:dyDescent="0.15">
      <c r="A33" s="230" t="s">
        <v>255</v>
      </c>
      <c r="B33" s="27"/>
      <c r="C33" s="26" t="s">
        <v>44</v>
      </c>
      <c r="D33" s="55" t="s">
        <v>21</v>
      </c>
      <c r="E33" s="24">
        <v>16</v>
      </c>
      <c r="F33" s="35">
        <v>1128</v>
      </c>
      <c r="G33" s="35">
        <f>F33*E33</f>
        <v>18048</v>
      </c>
    </row>
    <row r="34" spans="1:12" s="37" customFormat="1" ht="14.25" x14ac:dyDescent="0.15">
      <c r="A34" s="34"/>
      <c r="B34" s="27"/>
      <c r="C34" s="26"/>
      <c r="D34" s="55"/>
      <c r="E34" s="24"/>
      <c r="F34" s="29"/>
      <c r="G34" s="29"/>
    </row>
    <row r="35" spans="1:12" s="37" customFormat="1" ht="27" x14ac:dyDescent="0.15">
      <c r="A35" s="34">
        <v>2.11</v>
      </c>
      <c r="B35" s="27"/>
      <c r="C35" s="26" t="s">
        <v>45</v>
      </c>
      <c r="D35" s="55" t="s">
        <v>21</v>
      </c>
      <c r="E35" s="24">
        <v>27</v>
      </c>
      <c r="F35" s="35">
        <v>1128</v>
      </c>
      <c r="G35" s="35">
        <f>F35*E35</f>
        <v>30456</v>
      </c>
    </row>
    <row r="36" spans="1:12" s="37" customFormat="1" ht="14.25" x14ac:dyDescent="0.15">
      <c r="A36" s="34"/>
      <c r="B36" s="27"/>
      <c r="C36" s="26"/>
      <c r="D36" s="55"/>
      <c r="E36" s="24"/>
      <c r="F36" s="29"/>
      <c r="G36" s="29"/>
    </row>
    <row r="37" spans="1:12" s="37" customFormat="1" ht="14.25" x14ac:dyDescent="0.15">
      <c r="A37" s="34"/>
      <c r="B37" s="27"/>
      <c r="C37" s="26"/>
      <c r="D37" s="55"/>
      <c r="E37" s="24"/>
      <c r="F37" s="29"/>
      <c r="G37" s="29"/>
    </row>
    <row r="38" spans="1:12" s="37" customFormat="1" ht="31.15" customHeight="1" x14ac:dyDescent="0.15">
      <c r="A38" s="58">
        <v>2.12</v>
      </c>
      <c r="B38" s="27"/>
      <c r="C38" s="26" t="s">
        <v>46</v>
      </c>
      <c r="D38" s="55" t="s">
        <v>47</v>
      </c>
      <c r="E38" s="24">
        <v>190</v>
      </c>
      <c r="F38" s="35">
        <v>32</v>
      </c>
      <c r="G38" s="35">
        <f>F38*E38</f>
        <v>6080</v>
      </c>
    </row>
    <row r="39" spans="1:12" s="37" customFormat="1" ht="31.15" customHeight="1" x14ac:dyDescent="0.15">
      <c r="A39" s="58"/>
      <c r="B39" s="27"/>
      <c r="C39" s="26"/>
      <c r="D39" s="55"/>
      <c r="E39" s="24"/>
      <c r="F39" s="29"/>
      <c r="G39" s="29"/>
    </row>
    <row r="40" spans="1:12" s="37" customFormat="1" ht="31.15" customHeight="1" x14ac:dyDescent="0.15">
      <c r="A40" s="58">
        <v>2.13</v>
      </c>
      <c r="B40" s="27"/>
      <c r="C40" s="26" t="s">
        <v>48</v>
      </c>
      <c r="D40" s="55" t="s">
        <v>21</v>
      </c>
      <c r="E40" s="24">
        <v>420</v>
      </c>
      <c r="F40" s="35">
        <v>379</v>
      </c>
      <c r="G40" s="35">
        <f>F40*E40</f>
        <v>159180</v>
      </c>
    </row>
    <row r="41" spans="1:12" s="37" customFormat="1" thickBot="1" x14ac:dyDescent="0.2">
      <c r="A41" s="27"/>
      <c r="B41" s="27"/>
      <c r="C41" s="33"/>
      <c r="D41" s="23"/>
      <c r="E41" s="24"/>
      <c r="F41" s="55"/>
      <c r="G41" s="55"/>
    </row>
    <row r="42" spans="1:12" s="37" customFormat="1" ht="15" customHeight="1" thickBot="1" x14ac:dyDescent="0.2">
      <c r="A42" s="43" t="s">
        <v>49</v>
      </c>
      <c r="B42" s="44"/>
      <c r="C42" s="45"/>
      <c r="D42" s="46"/>
      <c r="E42" s="46"/>
      <c r="F42" s="47"/>
      <c r="G42" s="48">
        <f>SUM(G15:G40)</f>
        <v>1151760</v>
      </c>
    </row>
  </sheetData>
  <mergeCells count="5">
    <mergeCell ref="C1:E1"/>
    <mergeCell ref="C2:E2"/>
    <mergeCell ref="C3:E3"/>
    <mergeCell ref="C4:E4"/>
    <mergeCell ref="A5:B5"/>
  </mergeCells>
  <printOptions horizontalCentered="1"/>
  <pageMargins left="0.70866141732283472" right="0.70866141732283472" top="0.74803149606299213" bottom="0.74803149606299213" header="0.31496062992125984" footer="0.31496062992125984"/>
  <pageSetup paperSize="9" scale="7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A94A-C6F2-40A8-A011-365C10B26C9A}">
  <dimension ref="A1:K36"/>
  <sheetViews>
    <sheetView view="pageBreakPreview" topLeftCell="G1" zoomScaleNormal="100" zoomScaleSheetLayoutView="100" workbookViewId="0">
      <selection activeCell="H5" sqref="H5"/>
    </sheetView>
  </sheetViews>
  <sheetFormatPr defaultColWidth="9.16796875" defaultRowHeight="15" x14ac:dyDescent="0.2"/>
  <cols>
    <col min="1" max="2" width="5.66015625" style="49" customWidth="1"/>
    <col min="3" max="3" width="58.12109375" style="50" customWidth="1"/>
    <col min="4" max="4" width="6.60546875" style="51" customWidth="1"/>
    <col min="5" max="5" width="8.8984375" style="51" customWidth="1"/>
    <col min="6" max="6" width="20.6328125" style="52" customWidth="1"/>
    <col min="7" max="7" width="19.1484375" style="52" customWidth="1"/>
    <col min="8" max="16384" width="9.16796875" style="59"/>
  </cols>
  <sheetData>
    <row r="1" spans="1:11" x14ac:dyDescent="0.2">
      <c r="A1" s="1" t="s">
        <v>0</v>
      </c>
      <c r="B1" s="1"/>
      <c r="C1" s="237" t="s">
        <v>1</v>
      </c>
      <c r="D1" s="237"/>
      <c r="E1" s="237"/>
      <c r="F1" s="2"/>
      <c r="G1" s="3"/>
    </row>
    <row r="2" spans="1:11" x14ac:dyDescent="0.2">
      <c r="A2" s="1" t="s">
        <v>2</v>
      </c>
      <c r="B2" s="1"/>
      <c r="C2" s="238" t="s">
        <v>3</v>
      </c>
      <c r="D2" s="238"/>
      <c r="E2" s="238"/>
      <c r="F2" s="5"/>
      <c r="G2" s="3"/>
    </row>
    <row r="3" spans="1:11" x14ac:dyDescent="0.2">
      <c r="A3" s="6" t="s">
        <v>4</v>
      </c>
      <c r="B3" s="6"/>
      <c r="C3" s="239"/>
      <c r="D3" s="239"/>
      <c r="E3" s="239"/>
      <c r="F3" s="8"/>
      <c r="G3" s="9"/>
    </row>
    <row r="4" spans="1:11" ht="15.75" thickBot="1" x14ac:dyDescent="0.25">
      <c r="A4" s="6" t="s">
        <v>5</v>
      </c>
      <c r="B4" s="6"/>
      <c r="C4" s="240" t="s">
        <v>50</v>
      </c>
      <c r="D4" s="240"/>
      <c r="E4" s="240"/>
      <c r="F4" s="7"/>
      <c r="G4" s="9"/>
    </row>
    <row r="5" spans="1:11" ht="15.75" thickBot="1" x14ac:dyDescent="0.25">
      <c r="A5" s="235" t="s">
        <v>7</v>
      </c>
      <c r="B5" s="236"/>
      <c r="C5" s="11" t="s">
        <v>8</v>
      </c>
      <c r="D5" s="12" t="s">
        <v>9</v>
      </c>
      <c r="E5" s="13" t="s">
        <v>10</v>
      </c>
      <c r="F5" s="13" t="s">
        <v>11</v>
      </c>
      <c r="G5" s="14" t="s">
        <v>12</v>
      </c>
    </row>
    <row r="6" spans="1:11" x14ac:dyDescent="0.2">
      <c r="A6" s="16"/>
      <c r="B6" s="16"/>
      <c r="C6" s="17"/>
      <c r="D6" s="18"/>
      <c r="E6" s="18"/>
      <c r="F6" s="19"/>
      <c r="G6" s="19"/>
    </row>
    <row r="7" spans="1:11" x14ac:dyDescent="0.2">
      <c r="A7" s="21">
        <v>3</v>
      </c>
      <c r="B7" s="21"/>
      <c r="C7" s="22" t="s">
        <v>51</v>
      </c>
      <c r="D7" s="23"/>
      <c r="E7" s="24"/>
      <c r="F7" s="25"/>
      <c r="G7" s="25"/>
    </row>
    <row r="8" spans="1:11" x14ac:dyDescent="0.2">
      <c r="A8" s="21"/>
      <c r="B8" s="21"/>
      <c r="C8" s="26"/>
      <c r="D8" s="23"/>
      <c r="E8" s="24"/>
      <c r="F8" s="25"/>
      <c r="G8" s="25"/>
    </row>
    <row r="9" spans="1:11" x14ac:dyDescent="0.2">
      <c r="A9" s="21"/>
      <c r="B9" s="21"/>
      <c r="C9" s="26"/>
      <c r="D9" s="23"/>
      <c r="E9" s="24"/>
      <c r="F9" s="25"/>
      <c r="G9" s="25"/>
    </row>
    <row r="10" spans="1:11" ht="78" customHeight="1" x14ac:dyDescent="0.2">
      <c r="A10" s="21"/>
      <c r="B10" s="21"/>
      <c r="C10" s="26" t="s">
        <v>52</v>
      </c>
      <c r="D10" s="23"/>
      <c r="E10" s="24"/>
      <c r="F10" s="25"/>
      <c r="G10" s="25"/>
    </row>
    <row r="11" spans="1:11" x14ac:dyDescent="0.2">
      <c r="A11" s="27"/>
      <c r="B11" s="27"/>
      <c r="C11" s="28"/>
      <c r="D11" s="29"/>
      <c r="E11" s="30"/>
      <c r="F11" s="31"/>
      <c r="G11" s="31"/>
    </row>
    <row r="12" spans="1:11" x14ac:dyDescent="0.2">
      <c r="A12" s="27"/>
      <c r="B12" s="27"/>
      <c r="C12" s="32"/>
      <c r="D12" s="23"/>
      <c r="E12" s="24"/>
      <c r="F12" s="25"/>
      <c r="G12" s="25"/>
    </row>
    <row r="13" spans="1:11" x14ac:dyDescent="0.2">
      <c r="A13" s="27">
        <v>3.1</v>
      </c>
      <c r="B13" s="27"/>
      <c r="C13" s="33" t="s">
        <v>608</v>
      </c>
      <c r="D13" s="34" t="s">
        <v>47</v>
      </c>
      <c r="E13" s="209">
        <v>209</v>
      </c>
      <c r="F13" s="35">
        <v>86</v>
      </c>
      <c r="G13" s="35">
        <f>F13*E13</f>
        <v>17974</v>
      </c>
    </row>
    <row r="14" spans="1:11" x14ac:dyDescent="0.2">
      <c r="A14" s="27"/>
      <c r="B14" s="27"/>
      <c r="C14" s="33"/>
      <c r="D14" s="34"/>
      <c r="E14" s="24"/>
      <c r="F14" s="35"/>
      <c r="G14" s="35"/>
    </row>
    <row r="15" spans="1:11" x14ac:dyDescent="0.2">
      <c r="A15" s="27"/>
      <c r="B15" s="27"/>
      <c r="C15" s="33"/>
      <c r="D15" s="34"/>
      <c r="E15" s="24"/>
      <c r="F15" s="35"/>
      <c r="G15" s="35"/>
    </row>
    <row r="16" spans="1:11" x14ac:dyDescent="0.2">
      <c r="A16" s="27"/>
      <c r="B16" s="27"/>
      <c r="C16" s="33"/>
      <c r="D16" s="23"/>
      <c r="E16" s="24"/>
      <c r="F16" s="55"/>
      <c r="G16" s="55"/>
    </row>
    <row r="17" spans="1:11" x14ac:dyDescent="0.2">
      <c r="A17" s="27">
        <v>3.2</v>
      </c>
      <c r="B17" s="27"/>
      <c r="C17" s="33" t="s">
        <v>53</v>
      </c>
      <c r="D17" s="34" t="s">
        <v>47</v>
      </c>
      <c r="E17" s="24">
        <v>227</v>
      </c>
      <c r="F17" s="35">
        <v>86</v>
      </c>
      <c r="G17" s="35">
        <f>F17*E17</f>
        <v>19522</v>
      </c>
    </row>
    <row r="18" spans="1:11" x14ac:dyDescent="0.2">
      <c r="A18" s="27"/>
      <c r="B18" s="27"/>
      <c r="C18" s="33" t="s">
        <v>54</v>
      </c>
      <c r="D18" s="23"/>
      <c r="E18" s="24"/>
      <c r="F18" s="55"/>
      <c r="G18" s="55"/>
    </row>
    <row r="19" spans="1:11" x14ac:dyDescent="0.2">
      <c r="A19" s="27"/>
      <c r="B19" s="27"/>
      <c r="C19" s="33"/>
      <c r="D19" s="23"/>
      <c r="E19" s="24"/>
      <c r="F19" s="55"/>
      <c r="G19" s="55"/>
    </row>
    <row r="20" spans="1:11" x14ac:dyDescent="0.2">
      <c r="A20" s="27">
        <v>3.3</v>
      </c>
      <c r="B20" s="27"/>
      <c r="C20" s="33" t="s">
        <v>55</v>
      </c>
      <c r="D20" s="34" t="s">
        <v>47</v>
      </c>
      <c r="E20" s="24">
        <v>2678</v>
      </c>
      <c r="F20" s="35">
        <v>187</v>
      </c>
      <c r="G20" s="35">
        <f>F20*E20</f>
        <v>500786</v>
      </c>
    </row>
    <row r="21" spans="1:11" x14ac:dyDescent="0.2">
      <c r="A21" s="27"/>
      <c r="B21" s="27"/>
      <c r="C21" s="33" t="s">
        <v>56</v>
      </c>
      <c r="D21" s="34"/>
      <c r="E21" s="24"/>
      <c r="F21" s="35"/>
      <c r="G21" s="35"/>
    </row>
    <row r="22" spans="1:11" x14ac:dyDescent="0.2">
      <c r="A22" s="27"/>
      <c r="B22" s="27"/>
      <c r="C22" s="33" t="s">
        <v>57</v>
      </c>
      <c r="D22" s="34"/>
      <c r="E22" s="24"/>
      <c r="F22" s="35"/>
      <c r="G22" s="35"/>
    </row>
    <row r="23" spans="1:11" x14ac:dyDescent="0.2">
      <c r="A23" s="27"/>
      <c r="B23" s="27"/>
      <c r="D23" s="29"/>
      <c r="E23" s="30"/>
      <c r="F23" s="29"/>
      <c r="G23" s="29"/>
    </row>
    <row r="24" spans="1:11" x14ac:dyDescent="0.2">
      <c r="A24" s="27"/>
      <c r="B24" s="27"/>
      <c r="D24" s="23"/>
      <c r="E24" s="24"/>
      <c r="F24" s="55"/>
      <c r="G24" s="55"/>
    </row>
    <row r="25" spans="1:11" x14ac:dyDescent="0.2">
      <c r="A25" s="27"/>
      <c r="B25" s="27"/>
      <c r="C25" s="28"/>
      <c r="D25" s="29"/>
      <c r="E25" s="30"/>
      <c r="F25" s="29"/>
      <c r="G25" s="29"/>
    </row>
    <row r="26" spans="1:11" ht="15.75" thickBot="1" x14ac:dyDescent="0.25">
      <c r="A26" s="27"/>
      <c r="B26" s="27"/>
      <c r="C26" s="32"/>
      <c r="D26" s="34"/>
      <c r="E26" s="36"/>
      <c r="F26" s="34"/>
      <c r="G26" s="34"/>
    </row>
    <row r="27" spans="1:11" ht="15" customHeight="1" thickBot="1" x14ac:dyDescent="0.25">
      <c r="A27" s="43" t="s">
        <v>58</v>
      </c>
      <c r="B27" s="44"/>
      <c r="C27" s="45"/>
      <c r="D27" s="46"/>
      <c r="E27" s="46"/>
      <c r="F27" s="47"/>
      <c r="G27" s="48">
        <f>SUM(G13:G20)</f>
        <v>538282</v>
      </c>
    </row>
    <row r="28" spans="1:11" x14ac:dyDescent="0.2">
      <c r="A28" s="52"/>
      <c r="B28" s="52"/>
      <c r="C28" s="52"/>
      <c r="D28" s="52"/>
      <c r="E28" s="52"/>
    </row>
    <row r="29" spans="1:11" x14ac:dyDescent="0.2">
      <c r="A29" s="52"/>
      <c r="B29" s="52"/>
      <c r="C29" s="52"/>
      <c r="D29" s="52"/>
      <c r="E29" s="52"/>
    </row>
    <row r="30" spans="1:11" x14ac:dyDescent="0.2">
      <c r="A30" s="52"/>
      <c r="B30" s="52"/>
      <c r="C30" s="52"/>
      <c r="D30" s="52"/>
      <c r="E30" s="52"/>
    </row>
    <row r="31" spans="1:11" x14ac:dyDescent="0.2">
      <c r="A31" s="52"/>
      <c r="B31" s="52"/>
      <c r="C31" s="52"/>
      <c r="D31" s="52"/>
      <c r="E31" s="52"/>
    </row>
    <row r="32" spans="1:11" x14ac:dyDescent="0.2">
      <c r="A32" s="52"/>
      <c r="B32" s="52"/>
      <c r="C32" s="52"/>
      <c r="D32" s="52"/>
      <c r="E32" s="52"/>
    </row>
    <row r="33" spans="1:5" x14ac:dyDescent="0.2">
      <c r="A33" s="52"/>
      <c r="B33" s="52"/>
      <c r="C33" s="52"/>
      <c r="D33" s="52"/>
      <c r="E33" s="52"/>
    </row>
    <row r="34" spans="1:5" x14ac:dyDescent="0.2">
      <c r="A34" s="52"/>
      <c r="B34" s="52"/>
      <c r="C34" s="52"/>
      <c r="D34" s="52"/>
      <c r="E34" s="52"/>
    </row>
    <row r="35" spans="1:5" x14ac:dyDescent="0.2">
      <c r="A35" s="52"/>
      <c r="B35" s="52"/>
      <c r="C35" s="52"/>
      <c r="D35" s="52"/>
      <c r="E35" s="52"/>
    </row>
    <row r="36" spans="1:5" x14ac:dyDescent="0.2">
      <c r="A36" s="52"/>
      <c r="B36" s="52"/>
      <c r="C36" s="52"/>
      <c r="D36" s="52"/>
      <c r="E36" s="52"/>
    </row>
  </sheetData>
  <mergeCells count="5">
    <mergeCell ref="C1:E1"/>
    <mergeCell ref="C2:E2"/>
    <mergeCell ref="C3:E3"/>
    <mergeCell ref="C4:E4"/>
    <mergeCell ref="A5:B5"/>
  </mergeCells>
  <pageMargins left="0.7" right="0.7" top="0.75" bottom="0.75" header="0.3" footer="0.3"/>
  <pageSetup scale="43"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FC10-D2A5-4ACF-9501-A6467369129C}">
  <sheetPr>
    <pageSetUpPr fitToPage="1"/>
  </sheetPr>
  <dimension ref="A1:L33"/>
  <sheetViews>
    <sheetView view="pageBreakPreview" topLeftCell="B27" zoomScale="70" zoomScaleNormal="70" zoomScaleSheetLayoutView="70" workbookViewId="0">
      <selection activeCell="J46" sqref="J46"/>
    </sheetView>
  </sheetViews>
  <sheetFormatPr defaultColWidth="9.16796875" defaultRowHeight="15" x14ac:dyDescent="0.2"/>
  <cols>
    <col min="1" max="1" width="6.60546875" style="49" customWidth="1"/>
    <col min="2" max="2" width="5.66015625" style="49" customWidth="1"/>
    <col min="3" max="3" width="58.12109375" style="50" customWidth="1"/>
    <col min="4" max="4" width="8.08984375" style="51" customWidth="1"/>
    <col min="5" max="5" width="7.953125" style="51" customWidth="1"/>
    <col min="6" max="6" width="20.6328125" style="52" customWidth="1"/>
    <col min="7" max="7" width="19.1484375" style="52" customWidth="1"/>
    <col min="8" max="8" width="9.4375" style="59" bestFit="1" customWidth="1"/>
    <col min="9" max="16384" width="9.16796875" style="59"/>
  </cols>
  <sheetData>
    <row r="1" spans="1:11" x14ac:dyDescent="0.2">
      <c r="A1" s="1" t="s">
        <v>0</v>
      </c>
      <c r="B1" s="1"/>
      <c r="C1" s="237" t="s">
        <v>1</v>
      </c>
      <c r="D1" s="237"/>
      <c r="E1" s="237"/>
      <c r="F1" s="2"/>
      <c r="G1" s="3"/>
    </row>
    <row r="2" spans="1:11" x14ac:dyDescent="0.2">
      <c r="A2" s="1" t="s">
        <v>2</v>
      </c>
      <c r="B2" s="1"/>
      <c r="C2" s="238" t="s">
        <v>3</v>
      </c>
      <c r="D2" s="238"/>
      <c r="E2" s="238"/>
      <c r="F2" s="5"/>
      <c r="G2" s="3"/>
    </row>
    <row r="3" spans="1:11" x14ac:dyDescent="0.2">
      <c r="A3" s="6" t="s">
        <v>4</v>
      </c>
      <c r="B3" s="6"/>
      <c r="C3" s="239"/>
      <c r="D3" s="239"/>
      <c r="E3" s="239"/>
      <c r="F3" s="8"/>
      <c r="G3" s="9"/>
    </row>
    <row r="4" spans="1:11" ht="15.75" thickBot="1" x14ac:dyDescent="0.25">
      <c r="A4" s="6" t="s">
        <v>5</v>
      </c>
      <c r="B4" s="6"/>
      <c r="C4" s="240" t="s">
        <v>59</v>
      </c>
      <c r="D4" s="240"/>
      <c r="E4" s="240"/>
      <c r="F4" s="7"/>
      <c r="G4" s="9"/>
    </row>
    <row r="5" spans="1:11" ht="19.5" customHeight="1" thickBot="1" x14ac:dyDescent="0.25">
      <c r="A5" s="235" t="s">
        <v>7</v>
      </c>
      <c r="B5" s="236"/>
      <c r="C5" s="11" t="s">
        <v>8</v>
      </c>
      <c r="D5" s="12" t="s">
        <v>9</v>
      </c>
      <c r="E5" s="13" t="s">
        <v>10</v>
      </c>
      <c r="F5" s="13" t="s">
        <v>11</v>
      </c>
      <c r="G5" s="14" t="s">
        <v>12</v>
      </c>
    </row>
    <row r="6" spans="1:11" x14ac:dyDescent="0.2">
      <c r="A6" s="16"/>
      <c r="B6" s="16"/>
      <c r="C6" s="17"/>
      <c r="D6" s="18"/>
      <c r="E6" s="18"/>
      <c r="F6" s="19"/>
      <c r="G6" s="19"/>
    </row>
    <row r="7" spans="1:11" x14ac:dyDescent="0.2">
      <c r="A7" s="21">
        <v>4</v>
      </c>
      <c r="B7" s="21"/>
      <c r="C7" s="22" t="s">
        <v>60</v>
      </c>
      <c r="D7" s="23"/>
      <c r="E7" s="24"/>
      <c r="F7" s="25"/>
      <c r="G7" s="25"/>
    </row>
    <row r="8" spans="1:11" x14ac:dyDescent="0.2">
      <c r="A8" s="21"/>
      <c r="B8" s="21"/>
      <c r="C8" s="26"/>
      <c r="D8" s="23"/>
      <c r="E8" s="24"/>
      <c r="F8" s="25"/>
      <c r="G8" s="25"/>
    </row>
    <row r="9" spans="1:11" ht="75.75" customHeight="1" x14ac:dyDescent="0.2">
      <c r="A9" s="21"/>
      <c r="B9" s="21"/>
      <c r="C9" s="26" t="s">
        <v>61</v>
      </c>
      <c r="D9" s="23"/>
      <c r="E9" s="24"/>
      <c r="F9" s="25"/>
      <c r="G9" s="25"/>
    </row>
    <row r="10" spans="1:11" x14ac:dyDescent="0.2">
      <c r="A10" s="21"/>
      <c r="B10" s="21"/>
      <c r="C10" s="26"/>
      <c r="D10" s="23"/>
      <c r="E10" s="24"/>
      <c r="F10" s="25"/>
      <c r="G10" s="25"/>
    </row>
    <row r="11" spans="1:11" x14ac:dyDescent="0.2">
      <c r="A11" s="27">
        <v>4.0999999999999996</v>
      </c>
      <c r="B11" s="27"/>
      <c r="C11" s="32" t="s">
        <v>62</v>
      </c>
      <c r="D11" s="29"/>
      <c r="E11" s="30"/>
      <c r="F11" s="31"/>
      <c r="G11" s="31"/>
    </row>
    <row r="12" spans="1:11" x14ac:dyDescent="0.2">
      <c r="A12" s="27"/>
      <c r="B12" s="27"/>
      <c r="C12" s="32"/>
      <c r="D12" s="29"/>
      <c r="E12" s="30"/>
      <c r="F12" s="31"/>
      <c r="G12" s="31"/>
    </row>
    <row r="13" spans="1:11" ht="120.75" x14ac:dyDescent="0.2">
      <c r="A13" s="27" t="s">
        <v>63</v>
      </c>
      <c r="B13" s="27"/>
      <c r="C13" s="32" t="s">
        <v>64</v>
      </c>
      <c r="D13" s="55" t="s">
        <v>65</v>
      </c>
      <c r="E13" s="24">
        <v>16</v>
      </c>
      <c r="F13" s="35">
        <v>188</v>
      </c>
      <c r="G13" s="35">
        <f>F13*E13</f>
        <v>3008</v>
      </c>
    </row>
    <row r="14" spans="1:11" ht="50.1" customHeight="1" x14ac:dyDescent="0.2">
      <c r="A14" s="27" t="s">
        <v>66</v>
      </c>
      <c r="B14" s="27"/>
      <c r="C14" s="32" t="s">
        <v>67</v>
      </c>
      <c r="D14" s="55" t="s">
        <v>65</v>
      </c>
      <c r="E14" s="24">
        <v>12</v>
      </c>
      <c r="F14" s="35">
        <v>32</v>
      </c>
      <c r="G14" s="35">
        <f>F14*E14</f>
        <v>384</v>
      </c>
    </row>
    <row r="15" spans="1:11" ht="94.5" x14ac:dyDescent="0.2">
      <c r="A15" s="27" t="s">
        <v>68</v>
      </c>
      <c r="B15" s="21"/>
      <c r="C15" s="26" t="s">
        <v>573</v>
      </c>
      <c r="D15" s="55" t="s">
        <v>65</v>
      </c>
      <c r="E15" s="24">
        <v>573</v>
      </c>
      <c r="F15" s="35">
        <v>165</v>
      </c>
      <c r="G15" s="35">
        <f>F15*E15</f>
        <v>94545</v>
      </c>
    </row>
    <row r="16" spans="1:11" ht="94.5" x14ac:dyDescent="0.2">
      <c r="A16" s="27" t="s">
        <v>69</v>
      </c>
      <c r="B16" s="21"/>
      <c r="C16" s="26" t="s">
        <v>574</v>
      </c>
      <c r="D16" s="55" t="s">
        <v>65</v>
      </c>
      <c r="E16" s="24">
        <v>1582</v>
      </c>
      <c r="F16" s="35">
        <v>165</v>
      </c>
      <c r="G16" s="35">
        <f>F16*E16</f>
        <v>261030</v>
      </c>
    </row>
    <row r="17" spans="1:12" ht="50.1" customHeight="1" x14ac:dyDescent="0.2">
      <c r="A17" s="27" t="s">
        <v>70</v>
      </c>
      <c r="B17" s="27"/>
      <c r="C17" s="26" t="s">
        <v>71</v>
      </c>
      <c r="D17" s="55" t="s">
        <v>72</v>
      </c>
      <c r="E17" s="24">
        <v>280</v>
      </c>
      <c r="F17" s="35">
        <v>82</v>
      </c>
      <c r="G17" s="35">
        <f>F17*E17</f>
        <v>22960</v>
      </c>
    </row>
    <row r="18" spans="1:12" ht="68.25" x14ac:dyDescent="0.2">
      <c r="A18" s="27" t="s">
        <v>73</v>
      </c>
      <c r="B18" s="27"/>
      <c r="C18" s="26" t="s">
        <v>74</v>
      </c>
      <c r="D18" s="55" t="s">
        <v>65</v>
      </c>
      <c r="E18" s="24">
        <v>448</v>
      </c>
      <c r="F18" s="35">
        <v>106</v>
      </c>
      <c r="G18" s="35">
        <f>F18*E18</f>
        <v>47488</v>
      </c>
    </row>
    <row r="19" spans="1:12" ht="68.25" x14ac:dyDescent="0.2">
      <c r="A19" s="27" t="s">
        <v>75</v>
      </c>
      <c r="B19" s="27"/>
      <c r="C19" s="26" t="s">
        <v>76</v>
      </c>
      <c r="D19" s="55" t="s">
        <v>65</v>
      </c>
      <c r="E19" s="24">
        <v>31</v>
      </c>
      <c r="F19" s="35">
        <v>117</v>
      </c>
      <c r="G19" s="35">
        <f>F19*E19</f>
        <v>3627</v>
      </c>
    </row>
    <row r="20" spans="1:12" ht="108" x14ac:dyDescent="0.2">
      <c r="A20" s="198" t="s">
        <v>77</v>
      </c>
      <c r="B20" s="198"/>
      <c r="C20" s="203" t="s">
        <v>575</v>
      </c>
      <c r="D20" s="204" t="s">
        <v>107</v>
      </c>
      <c r="E20" s="24">
        <v>29</v>
      </c>
      <c r="F20" s="35">
        <v>225</v>
      </c>
      <c r="G20" s="35">
        <f>F20*E20</f>
        <v>6525</v>
      </c>
    </row>
    <row r="21" spans="1:12" ht="50.1" customHeight="1" x14ac:dyDescent="0.2">
      <c r="A21" s="231" t="s">
        <v>79</v>
      </c>
      <c r="B21" s="27"/>
      <c r="C21" s="26" t="s">
        <v>78</v>
      </c>
      <c r="D21" s="55" t="s">
        <v>65</v>
      </c>
      <c r="E21" s="24">
        <v>31</v>
      </c>
      <c r="F21" s="35">
        <v>167</v>
      </c>
      <c r="G21" s="35">
        <f>F21*E21</f>
        <v>5177</v>
      </c>
    </row>
    <row r="22" spans="1:12" ht="50.1" customHeight="1" x14ac:dyDescent="0.2">
      <c r="A22" s="231" t="s">
        <v>621</v>
      </c>
      <c r="B22" s="27"/>
      <c r="C22" s="26" t="s">
        <v>80</v>
      </c>
      <c r="D22" s="55" t="s">
        <v>72</v>
      </c>
      <c r="E22" s="24">
        <v>40</v>
      </c>
      <c r="F22" s="35">
        <v>167</v>
      </c>
      <c r="G22" s="35">
        <f>F22*E22</f>
        <v>6680</v>
      </c>
    </row>
    <row r="23" spans="1:12" x14ac:dyDescent="0.2">
      <c r="A23" s="27">
        <v>4.2</v>
      </c>
      <c r="B23" s="27"/>
      <c r="C23" s="60" t="s">
        <v>581</v>
      </c>
      <c r="D23" s="55"/>
      <c r="E23" s="24"/>
      <c r="F23" s="35"/>
      <c r="G23" s="35"/>
    </row>
    <row r="24" spans="1:12" ht="123" x14ac:dyDescent="0.2">
      <c r="A24" s="27" t="s">
        <v>81</v>
      </c>
      <c r="B24" s="27"/>
      <c r="C24" s="203" t="s">
        <v>576</v>
      </c>
      <c r="D24" s="55" t="s">
        <v>65</v>
      </c>
      <c r="E24" s="24">
        <v>2605</v>
      </c>
      <c r="F24" s="35">
        <v>38</v>
      </c>
      <c r="G24" s="35">
        <f>F24*E24</f>
        <v>98990</v>
      </c>
    </row>
    <row r="25" spans="1:12" ht="216" x14ac:dyDescent="0.2">
      <c r="A25" s="27" t="s">
        <v>82</v>
      </c>
      <c r="B25" s="27"/>
      <c r="C25" s="26" t="s">
        <v>582</v>
      </c>
      <c r="D25" s="55" t="s">
        <v>65</v>
      </c>
      <c r="E25" s="209">
        <v>414</v>
      </c>
      <c r="F25" s="35">
        <v>813</v>
      </c>
      <c r="G25" s="35">
        <f>F25*E25</f>
        <v>336582</v>
      </c>
    </row>
    <row r="26" spans="1:12" ht="309.75" x14ac:dyDescent="0.2">
      <c r="A26" s="27" t="s">
        <v>84</v>
      </c>
      <c r="B26" s="27"/>
      <c r="C26" s="26" t="s">
        <v>83</v>
      </c>
      <c r="D26" s="55" t="s">
        <v>65</v>
      </c>
      <c r="E26" s="24">
        <v>2896</v>
      </c>
      <c r="F26" s="35">
        <v>44</v>
      </c>
      <c r="G26" s="35">
        <f>F26*E26</f>
        <v>127424</v>
      </c>
    </row>
    <row r="27" spans="1:12" ht="392.25" customHeight="1" x14ac:dyDescent="0.2">
      <c r="A27" s="27" t="s">
        <v>596</v>
      </c>
      <c r="B27" s="27"/>
      <c r="C27" s="26" t="s">
        <v>85</v>
      </c>
      <c r="D27" s="55" t="s">
        <v>65</v>
      </c>
      <c r="E27" s="24">
        <v>207</v>
      </c>
      <c r="F27" s="35">
        <v>38</v>
      </c>
      <c r="G27" s="35">
        <f>F27*E27</f>
        <v>7866</v>
      </c>
    </row>
    <row r="28" spans="1:12" ht="406.5" customHeight="1" x14ac:dyDescent="0.2">
      <c r="A28" s="27" t="s">
        <v>597</v>
      </c>
      <c r="B28" s="27"/>
      <c r="C28" s="26" t="s">
        <v>583</v>
      </c>
      <c r="D28" s="55" t="s">
        <v>65</v>
      </c>
      <c r="E28" s="24">
        <v>263</v>
      </c>
      <c r="F28" s="35">
        <v>38</v>
      </c>
      <c r="G28" s="35">
        <f>F28*E28</f>
        <v>9994</v>
      </c>
    </row>
    <row r="29" spans="1:12" s="197" customFormat="1" x14ac:dyDescent="0.2">
      <c r="A29" s="198">
        <v>4.3</v>
      </c>
      <c r="B29" s="198"/>
      <c r="C29" s="201" t="s">
        <v>577</v>
      </c>
      <c r="D29" s="195"/>
      <c r="E29" s="196"/>
      <c r="F29" s="35"/>
      <c r="G29" s="35"/>
    </row>
    <row r="30" spans="1:12" s="197" customFormat="1" ht="203.25" x14ac:dyDescent="0.2">
      <c r="A30" s="198" t="s">
        <v>578</v>
      </c>
      <c r="B30" s="198"/>
      <c r="C30" s="200" t="s">
        <v>579</v>
      </c>
      <c r="D30" s="195" t="s">
        <v>65</v>
      </c>
      <c r="E30" s="196">
        <v>44</v>
      </c>
      <c r="F30" s="35">
        <v>290</v>
      </c>
      <c r="G30" s="35">
        <f>F30*E30</f>
        <v>12760</v>
      </c>
    </row>
    <row r="31" spans="1:12" s="197" customFormat="1" ht="343.5" customHeight="1" x14ac:dyDescent="0.2">
      <c r="A31" s="198" t="s">
        <v>598</v>
      </c>
      <c r="B31" s="198"/>
      <c r="C31" s="203" t="s">
        <v>580</v>
      </c>
      <c r="D31" s="204" t="s">
        <v>92</v>
      </c>
      <c r="E31" s="196">
        <v>1</v>
      </c>
      <c r="F31" s="35">
        <v>18750</v>
      </c>
      <c r="G31" s="35">
        <f>F31*E31</f>
        <v>18750</v>
      </c>
    </row>
    <row r="32" spans="1:12" ht="15.75" thickBot="1" x14ac:dyDescent="0.25">
      <c r="A32" s="27"/>
      <c r="B32" s="27"/>
      <c r="C32" s="32"/>
      <c r="D32" s="23"/>
      <c r="E32" s="24"/>
      <c r="F32" s="25"/>
      <c r="G32" s="25"/>
    </row>
    <row r="33" spans="1:7" ht="15" customHeight="1" thickBot="1" x14ac:dyDescent="0.25">
      <c r="A33" s="43" t="s">
        <v>86</v>
      </c>
      <c r="B33" s="44"/>
      <c r="C33" s="45"/>
      <c r="D33" s="46"/>
      <c r="E33" s="46"/>
      <c r="F33" s="47"/>
      <c r="G33" s="48">
        <f>SUM(G13:G32)</f>
        <v>1063790</v>
      </c>
    </row>
  </sheetData>
  <mergeCells count="5">
    <mergeCell ref="C1:E1"/>
    <mergeCell ref="C2:E2"/>
    <mergeCell ref="C3:E3"/>
    <mergeCell ref="C4:E4"/>
    <mergeCell ref="A5:B5"/>
  </mergeCells>
  <pageMargins left="0.7" right="0.7" top="0.75" bottom="0.75" header="0.3" footer="0.3"/>
  <pageSetup paperSize="8" scale="32"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397D-3EA8-4A3D-A8AC-096089A0A310}">
  <dimension ref="A1:O30"/>
  <sheetViews>
    <sheetView view="pageBreakPreview" topLeftCell="F15" zoomScale="85" zoomScaleNormal="55" zoomScaleSheetLayoutView="85" workbookViewId="0">
      <selection activeCell="H5" sqref="H5"/>
    </sheetView>
  </sheetViews>
  <sheetFormatPr defaultColWidth="9.16796875" defaultRowHeight="15" x14ac:dyDescent="0.2"/>
  <cols>
    <col min="1" max="2" width="9.16796875" style="59"/>
    <col min="3" max="3" width="47.73828125" style="59" customWidth="1"/>
    <col min="4" max="5" width="8.76171875" style="59" customWidth="1"/>
    <col min="6" max="6" width="13.6171875" style="59" customWidth="1"/>
    <col min="7" max="7" width="12.13671875" style="59" customWidth="1"/>
    <col min="8" max="16384" width="9.16796875" style="59"/>
  </cols>
  <sheetData>
    <row r="1" spans="1:8" ht="15" customHeight="1" x14ac:dyDescent="0.2">
      <c r="A1" s="1" t="s">
        <v>0</v>
      </c>
      <c r="B1" s="1"/>
      <c r="C1" s="237" t="s">
        <v>1</v>
      </c>
      <c r="D1" s="237"/>
      <c r="E1" s="237"/>
      <c r="F1" s="2"/>
      <c r="G1" s="3"/>
    </row>
    <row r="2" spans="1:8" ht="15" customHeight="1" x14ac:dyDescent="0.2">
      <c r="A2" s="1" t="s">
        <v>2</v>
      </c>
      <c r="B2" s="1"/>
      <c r="C2" s="238" t="s">
        <v>3</v>
      </c>
      <c r="D2" s="238"/>
      <c r="E2" s="238"/>
      <c r="F2" s="5"/>
      <c r="G2" s="3"/>
    </row>
    <row r="3" spans="1:8" x14ac:dyDescent="0.2">
      <c r="A3" s="6" t="s">
        <v>4</v>
      </c>
      <c r="B3" s="6"/>
      <c r="C3" s="239"/>
      <c r="D3" s="239"/>
      <c r="E3" s="239"/>
      <c r="F3" s="8"/>
      <c r="G3" s="9"/>
    </row>
    <row r="4" spans="1:8" ht="15.75" customHeight="1" thickBot="1" x14ac:dyDescent="0.25">
      <c r="A4" s="6" t="s">
        <v>5</v>
      </c>
      <c r="B4" s="6"/>
      <c r="C4" s="240" t="s">
        <v>87</v>
      </c>
      <c r="D4" s="240"/>
      <c r="E4" s="240"/>
      <c r="F4" s="7"/>
      <c r="G4" s="9"/>
    </row>
    <row r="5" spans="1:8" ht="15.75" thickBot="1" x14ac:dyDescent="0.25">
      <c r="A5" s="235" t="s">
        <v>7</v>
      </c>
      <c r="B5" s="236"/>
      <c r="C5" s="11" t="s">
        <v>8</v>
      </c>
      <c r="D5" s="12" t="s">
        <v>9</v>
      </c>
      <c r="E5" s="13" t="s">
        <v>10</v>
      </c>
      <c r="F5" s="13" t="s">
        <v>11</v>
      </c>
      <c r="G5" s="14" t="s">
        <v>12</v>
      </c>
    </row>
    <row r="6" spans="1:8" x14ac:dyDescent="0.2">
      <c r="A6" s="61"/>
      <c r="B6" s="61"/>
      <c r="C6" s="62"/>
      <c r="D6" s="63"/>
      <c r="E6" s="63"/>
      <c r="F6" s="63"/>
      <c r="G6" s="64"/>
    </row>
    <row r="7" spans="1:8" ht="16.899999999999999" customHeight="1" x14ac:dyDescent="0.2">
      <c r="A7" s="21">
        <v>5</v>
      </c>
      <c r="B7" s="21"/>
      <c r="C7" s="65" t="s">
        <v>88</v>
      </c>
      <c r="D7" s="23"/>
      <c r="E7" s="55"/>
      <c r="F7" s="55"/>
      <c r="G7" s="25"/>
    </row>
    <row r="8" spans="1:8" ht="191.25" customHeight="1" x14ac:dyDescent="0.2">
      <c r="A8" s="23"/>
      <c r="B8" s="23"/>
      <c r="C8" s="26" t="s">
        <v>89</v>
      </c>
      <c r="D8" s="55"/>
      <c r="E8" s="55"/>
      <c r="F8" s="55"/>
      <c r="G8" s="25"/>
    </row>
    <row r="9" spans="1:8" x14ac:dyDescent="0.2">
      <c r="A9" s="66"/>
      <c r="B9" s="66"/>
      <c r="C9" s="67"/>
      <c r="D9" s="34"/>
      <c r="E9" s="36"/>
      <c r="F9" s="34"/>
      <c r="G9" s="68"/>
    </row>
    <row r="10" spans="1:8" ht="78.75" customHeight="1" x14ac:dyDescent="0.2">
      <c r="A10" s="66"/>
      <c r="B10" s="66"/>
      <c r="C10" s="26" t="s">
        <v>90</v>
      </c>
      <c r="D10" s="34"/>
      <c r="E10" s="36"/>
      <c r="F10" s="34"/>
      <c r="G10" s="68"/>
    </row>
    <row r="11" spans="1:8" x14ac:dyDescent="0.2">
      <c r="A11" s="66"/>
      <c r="B11" s="66"/>
      <c r="C11" s="67"/>
      <c r="D11" s="34"/>
      <c r="E11" s="36"/>
      <c r="F11" s="34"/>
      <c r="G11" s="68"/>
    </row>
    <row r="12" spans="1:8" ht="22.5" customHeight="1" x14ac:dyDescent="0.2">
      <c r="A12" s="241">
        <v>5.0999999999999996</v>
      </c>
      <c r="B12" s="69"/>
      <c r="C12" s="26" t="s">
        <v>91</v>
      </c>
      <c r="D12" s="244" t="s">
        <v>92</v>
      </c>
      <c r="E12" s="247">
        <v>1</v>
      </c>
      <c r="F12" s="35"/>
      <c r="G12" s="35"/>
    </row>
    <row r="13" spans="1:8" x14ac:dyDescent="0.2">
      <c r="A13" s="242"/>
      <c r="B13" s="66"/>
      <c r="C13" s="67"/>
      <c r="D13" s="245"/>
      <c r="E13" s="248"/>
      <c r="F13" s="35"/>
      <c r="G13" s="35"/>
    </row>
    <row r="14" spans="1:8" ht="21.75" customHeight="1" x14ac:dyDescent="0.2">
      <c r="A14" s="242"/>
      <c r="B14" s="69"/>
      <c r="C14" s="26" t="s">
        <v>93</v>
      </c>
      <c r="D14" s="245"/>
      <c r="E14" s="248"/>
      <c r="F14" s="35"/>
      <c r="G14" s="35"/>
    </row>
    <row r="15" spans="1:8" x14ac:dyDescent="0.2">
      <c r="A15" s="242"/>
      <c r="B15" s="69"/>
      <c r="C15" s="26"/>
      <c r="D15" s="245"/>
      <c r="E15" s="248"/>
      <c r="F15" s="35">
        <v>22425</v>
      </c>
      <c r="G15" s="35">
        <f>F15*E12</f>
        <v>22425</v>
      </c>
    </row>
    <row r="16" spans="1:8" x14ac:dyDescent="0.2">
      <c r="A16" s="242"/>
      <c r="B16" s="69"/>
      <c r="C16" s="26" t="s">
        <v>94</v>
      </c>
      <c r="D16" s="245"/>
      <c r="E16" s="248"/>
      <c r="F16" s="35"/>
      <c r="G16" s="35"/>
    </row>
    <row r="17" spans="1:15" x14ac:dyDescent="0.2">
      <c r="A17" s="242"/>
      <c r="B17" s="69"/>
      <c r="C17" s="26"/>
      <c r="D17" s="245"/>
      <c r="E17" s="248"/>
      <c r="F17" s="35"/>
      <c r="G17" s="35"/>
    </row>
    <row r="18" spans="1:15" x14ac:dyDescent="0.2">
      <c r="A18" s="242"/>
      <c r="B18" s="69"/>
      <c r="C18" s="26" t="s">
        <v>95</v>
      </c>
      <c r="D18" s="245"/>
      <c r="E18" s="248"/>
      <c r="F18" s="35"/>
      <c r="G18" s="35"/>
    </row>
    <row r="19" spans="1:15" x14ac:dyDescent="0.2">
      <c r="A19" s="242"/>
      <c r="B19" s="69"/>
      <c r="C19" s="26"/>
      <c r="D19" s="245"/>
      <c r="E19" s="248"/>
      <c r="F19" s="35"/>
      <c r="G19" s="35"/>
    </row>
    <row r="20" spans="1:15" x14ac:dyDescent="0.2">
      <c r="A20" s="243"/>
      <c r="B20" s="69"/>
      <c r="C20" s="26" t="s">
        <v>96</v>
      </c>
      <c r="D20" s="246"/>
      <c r="E20" s="249"/>
      <c r="F20" s="35"/>
      <c r="G20" s="35"/>
    </row>
    <row r="21" spans="1:15" x14ac:dyDescent="0.2">
      <c r="A21" s="69"/>
      <c r="B21" s="69"/>
      <c r="C21" s="26"/>
      <c r="D21" s="34"/>
      <c r="E21" s="34"/>
      <c r="F21" s="34"/>
      <c r="G21" s="41"/>
    </row>
    <row r="22" spans="1:15" ht="159" x14ac:dyDescent="0.2">
      <c r="A22" s="69">
        <v>5.2</v>
      </c>
      <c r="B22" s="69"/>
      <c r="C22" s="70" t="s">
        <v>97</v>
      </c>
      <c r="D22" s="34" t="s">
        <v>92</v>
      </c>
      <c r="E22" s="34">
        <v>1</v>
      </c>
      <c r="F22" s="35">
        <v>16689</v>
      </c>
      <c r="G22" s="35">
        <f>F22*E22</f>
        <v>16689</v>
      </c>
    </row>
    <row r="23" spans="1:15" x14ac:dyDescent="0.2">
      <c r="A23" s="69"/>
      <c r="B23" s="69"/>
      <c r="C23" s="26"/>
      <c r="D23" s="34"/>
      <c r="E23" s="34"/>
      <c r="F23" s="34"/>
      <c r="G23" s="41"/>
    </row>
    <row r="24" spans="1:15" ht="409.6" x14ac:dyDescent="0.2">
      <c r="A24" s="69">
        <v>5.3</v>
      </c>
      <c r="B24" s="69"/>
      <c r="C24" s="26" t="s">
        <v>98</v>
      </c>
      <c r="D24" s="34" t="s">
        <v>92</v>
      </c>
      <c r="E24" s="34">
        <v>1</v>
      </c>
      <c r="F24" s="35">
        <v>52243</v>
      </c>
      <c r="G24" s="35">
        <f>F24*E24</f>
        <v>52243</v>
      </c>
    </row>
    <row r="25" spans="1:15" x14ac:dyDescent="0.2">
      <c r="A25" s="69"/>
      <c r="B25" s="69"/>
      <c r="C25" s="26"/>
      <c r="D25" s="34"/>
      <c r="E25" s="34"/>
      <c r="F25" s="34"/>
      <c r="G25" s="41"/>
    </row>
    <row r="26" spans="1:15" ht="27.75" x14ac:dyDescent="0.2">
      <c r="A26" s="69">
        <v>5.4</v>
      </c>
      <c r="B26" s="69"/>
      <c r="C26" s="26" t="s">
        <v>99</v>
      </c>
      <c r="D26" s="34" t="s">
        <v>47</v>
      </c>
      <c r="E26" s="34">
        <v>1310</v>
      </c>
      <c r="F26" s="35">
        <v>88</v>
      </c>
      <c r="G26" s="35">
        <f>F26*E26</f>
        <v>115280</v>
      </c>
    </row>
    <row r="27" spans="1:15" ht="27.75" x14ac:dyDescent="0.2">
      <c r="A27" s="69"/>
      <c r="B27" s="69"/>
      <c r="C27" s="26" t="s">
        <v>100</v>
      </c>
      <c r="D27" s="34"/>
      <c r="E27" s="34"/>
      <c r="F27" s="34"/>
      <c r="G27" s="41"/>
    </row>
    <row r="28" spans="1:15" x14ac:dyDescent="0.2">
      <c r="A28" s="69"/>
      <c r="B28" s="69"/>
      <c r="C28" s="26"/>
      <c r="D28" s="34"/>
      <c r="E28" s="34"/>
      <c r="F28" s="34"/>
      <c r="G28" s="41"/>
    </row>
    <row r="29" spans="1:15" ht="15.75" thickBot="1" x14ac:dyDescent="0.25">
      <c r="A29" s="69"/>
      <c r="B29" s="69"/>
      <c r="C29" s="71"/>
      <c r="D29" s="34"/>
      <c r="E29" s="34"/>
      <c r="F29" s="34"/>
      <c r="G29" s="41"/>
    </row>
    <row r="30" spans="1:15" ht="15" customHeight="1" thickBot="1" x14ac:dyDescent="0.25">
      <c r="A30" s="43" t="s">
        <v>101</v>
      </c>
      <c r="B30" s="44"/>
      <c r="C30" s="45"/>
      <c r="D30" s="46"/>
      <c r="E30" s="46"/>
      <c r="F30" s="47"/>
      <c r="G30" s="48">
        <f>SUM(G15:G29)</f>
        <v>206637</v>
      </c>
    </row>
  </sheetData>
  <mergeCells count="8">
    <mergeCell ref="A5:B5"/>
    <mergeCell ref="A12:A20"/>
    <mergeCell ref="D12:D20"/>
    <mergeCell ref="E12:E20"/>
    <mergeCell ref="C1:E1"/>
    <mergeCell ref="C2:E2"/>
    <mergeCell ref="C3:E3"/>
    <mergeCell ref="C4:E4"/>
  </mergeCells>
  <pageMargins left="0.7" right="0.7" top="0.75" bottom="0.75" header="0.3" footer="0.3"/>
  <pageSetup scale="42"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0DF9-978C-47F0-A1D9-7D08BBAEB9C2}">
  <sheetPr>
    <pageSetUpPr fitToPage="1"/>
  </sheetPr>
  <dimension ref="A1:H29"/>
  <sheetViews>
    <sheetView tabSelected="1" view="pageBreakPreview" zoomScaleNormal="70" zoomScaleSheetLayoutView="100" workbookViewId="0">
      <selection activeCell="L28" sqref="L28"/>
    </sheetView>
  </sheetViews>
  <sheetFormatPr defaultColWidth="9.16796875" defaultRowHeight="15" x14ac:dyDescent="0.2"/>
  <cols>
    <col min="1" max="1" width="9.16796875" style="59"/>
    <col min="2" max="2" width="12.40625" style="59" customWidth="1"/>
    <col min="3" max="3" width="47.73828125" style="59" customWidth="1"/>
    <col min="4" max="5" width="8.76171875" style="59" customWidth="1"/>
    <col min="6" max="6" width="13.6171875" style="59" customWidth="1"/>
    <col min="7" max="7" width="12.13671875" style="59" customWidth="1"/>
    <col min="8" max="16384" width="9.16796875" style="59"/>
  </cols>
  <sheetData>
    <row r="1" spans="1:8" ht="15" customHeight="1" x14ac:dyDescent="0.2">
      <c r="A1" s="1" t="s">
        <v>0</v>
      </c>
      <c r="B1" s="1"/>
      <c r="C1" s="237" t="s">
        <v>1</v>
      </c>
      <c r="D1" s="237"/>
      <c r="E1" s="237"/>
      <c r="F1" s="2"/>
      <c r="G1" s="3"/>
    </row>
    <row r="2" spans="1:8" ht="15" customHeight="1" x14ac:dyDescent="0.2">
      <c r="A2" s="1" t="s">
        <v>2</v>
      </c>
      <c r="B2" s="1"/>
      <c r="C2" s="238" t="s">
        <v>3</v>
      </c>
      <c r="D2" s="238"/>
      <c r="E2" s="238"/>
      <c r="F2" s="5"/>
      <c r="G2" s="3"/>
    </row>
    <row r="3" spans="1:8" x14ac:dyDescent="0.2">
      <c r="A3" s="6" t="s">
        <v>4</v>
      </c>
      <c r="B3" s="6"/>
      <c r="C3" s="239"/>
      <c r="D3" s="239"/>
      <c r="E3" s="239"/>
      <c r="F3" s="8"/>
      <c r="G3" s="9"/>
    </row>
    <row r="4" spans="1:8" ht="15.75" customHeight="1" thickBot="1" x14ac:dyDescent="0.25">
      <c r="A4" s="6" t="s">
        <v>5</v>
      </c>
      <c r="B4" s="6"/>
      <c r="C4" s="240" t="s">
        <v>102</v>
      </c>
      <c r="D4" s="240"/>
      <c r="E4" s="240"/>
      <c r="F4" s="7"/>
      <c r="G4" s="9"/>
    </row>
    <row r="5" spans="1:8" ht="15.75" thickBot="1" x14ac:dyDescent="0.25">
      <c r="A5" s="235" t="s">
        <v>7</v>
      </c>
      <c r="B5" s="236"/>
      <c r="C5" s="11" t="s">
        <v>8</v>
      </c>
      <c r="D5" s="12" t="s">
        <v>9</v>
      </c>
      <c r="E5" s="13" t="s">
        <v>10</v>
      </c>
      <c r="F5" s="13" t="s">
        <v>11</v>
      </c>
      <c r="G5" s="14" t="s">
        <v>12</v>
      </c>
    </row>
    <row r="6" spans="1:8" x14ac:dyDescent="0.2">
      <c r="A6" s="72"/>
      <c r="B6" s="73"/>
      <c r="C6" s="74"/>
      <c r="D6" s="75"/>
      <c r="E6" s="76"/>
      <c r="F6" s="77"/>
      <c r="G6" s="78"/>
    </row>
    <row r="7" spans="1:8" ht="16.899999999999999" customHeight="1" x14ac:dyDescent="0.2">
      <c r="A7" s="72">
        <v>6</v>
      </c>
      <c r="B7" s="73"/>
      <c r="C7" s="74" t="s">
        <v>103</v>
      </c>
      <c r="D7" s="75"/>
      <c r="E7" s="76"/>
      <c r="F7" s="77"/>
      <c r="G7" s="78"/>
    </row>
    <row r="8" spans="1:8" ht="47.25" x14ac:dyDescent="0.2">
      <c r="A8" s="72"/>
      <c r="B8" s="73"/>
      <c r="C8" s="74" t="s">
        <v>104</v>
      </c>
      <c r="D8" s="75"/>
      <c r="E8" s="76"/>
      <c r="F8" s="77"/>
      <c r="G8" s="78"/>
    </row>
    <row r="9" spans="1:8" x14ac:dyDescent="0.2">
      <c r="A9" s="72"/>
      <c r="B9" s="73"/>
      <c r="C9" s="74"/>
      <c r="D9" s="75"/>
      <c r="E9" s="76"/>
      <c r="F9" s="77"/>
      <c r="G9" s="78"/>
    </row>
    <row r="10" spans="1:8" x14ac:dyDescent="0.2">
      <c r="A10" s="72"/>
      <c r="B10" s="73"/>
      <c r="C10" s="74" t="s">
        <v>105</v>
      </c>
      <c r="D10" s="75"/>
      <c r="E10" s="76"/>
      <c r="F10" s="77"/>
      <c r="G10" s="78"/>
    </row>
    <row r="11" spans="1:8" ht="36" x14ac:dyDescent="0.2">
      <c r="A11" s="72">
        <v>6.1</v>
      </c>
      <c r="B11" s="79" t="s">
        <v>106</v>
      </c>
      <c r="C11" s="74" t="s">
        <v>584</v>
      </c>
      <c r="D11" s="75" t="s">
        <v>107</v>
      </c>
      <c r="E11" s="76">
        <v>2</v>
      </c>
      <c r="F11" s="35">
        <v>38269</v>
      </c>
      <c r="G11" s="35">
        <f>F11*E11</f>
        <v>76538</v>
      </c>
    </row>
    <row r="12" spans="1:8" x14ac:dyDescent="0.2">
      <c r="A12" s="72"/>
      <c r="B12" s="79"/>
      <c r="C12" s="74"/>
      <c r="D12" s="75"/>
      <c r="E12" s="76"/>
      <c r="F12" s="77"/>
      <c r="G12" s="78"/>
    </row>
    <row r="13" spans="1:8" ht="36" x14ac:dyDescent="0.2">
      <c r="A13" s="72">
        <v>6.2</v>
      </c>
      <c r="B13" s="79" t="s">
        <v>106</v>
      </c>
      <c r="C13" s="74" t="s">
        <v>585</v>
      </c>
      <c r="D13" s="75" t="s">
        <v>107</v>
      </c>
      <c r="E13" s="76">
        <v>1</v>
      </c>
      <c r="F13" s="35">
        <v>32054</v>
      </c>
      <c r="G13" s="35">
        <f>F13*E13</f>
        <v>32054</v>
      </c>
    </row>
    <row r="14" spans="1:8" x14ac:dyDescent="0.2">
      <c r="A14" s="72"/>
      <c r="B14" s="79"/>
      <c r="C14" s="74"/>
      <c r="D14" s="75"/>
      <c r="E14" s="76"/>
      <c r="F14" s="77"/>
      <c r="G14" s="78"/>
    </row>
    <row r="15" spans="1:8" ht="36" x14ac:dyDescent="0.2">
      <c r="A15" s="72">
        <v>6.3</v>
      </c>
      <c r="B15" s="79" t="s">
        <v>106</v>
      </c>
      <c r="C15" s="74" t="s">
        <v>586</v>
      </c>
      <c r="D15" s="75" t="s">
        <v>107</v>
      </c>
      <c r="E15" s="76">
        <v>2</v>
      </c>
      <c r="F15" s="35">
        <v>30713</v>
      </c>
      <c r="G15" s="35">
        <f>F15*E15</f>
        <v>61426</v>
      </c>
    </row>
    <row r="16" spans="1:8" x14ac:dyDescent="0.2">
      <c r="A16" s="72"/>
      <c r="B16" s="73"/>
      <c r="C16" s="74"/>
      <c r="D16" s="75"/>
      <c r="E16" s="76"/>
      <c r="F16" s="77"/>
      <c r="G16" s="78"/>
    </row>
    <row r="17" spans="1:8" ht="36" x14ac:dyDescent="0.2">
      <c r="A17" s="72">
        <v>6.4</v>
      </c>
      <c r="B17" s="79" t="s">
        <v>106</v>
      </c>
      <c r="C17" s="74" t="s">
        <v>587</v>
      </c>
      <c r="D17" s="75" t="s">
        <v>107</v>
      </c>
      <c r="E17" s="76">
        <v>1</v>
      </c>
      <c r="F17" s="35">
        <v>29616</v>
      </c>
      <c r="G17" s="35">
        <f>F17*E17</f>
        <v>29616</v>
      </c>
    </row>
    <row r="18" spans="1:8" x14ac:dyDescent="0.2">
      <c r="A18" s="72"/>
      <c r="B18" s="79"/>
      <c r="C18" s="74"/>
      <c r="D18" s="75"/>
      <c r="E18" s="76"/>
      <c r="F18" s="77"/>
      <c r="G18" s="78"/>
    </row>
    <row r="19" spans="1:8" ht="36" x14ac:dyDescent="0.2">
      <c r="A19" s="72">
        <v>6.5</v>
      </c>
      <c r="B19" s="79" t="s">
        <v>106</v>
      </c>
      <c r="C19" s="74" t="s">
        <v>589</v>
      </c>
      <c r="D19" s="75" t="s">
        <v>107</v>
      </c>
      <c r="E19" s="232">
        <v>21</v>
      </c>
      <c r="F19" s="35">
        <v>15844</v>
      </c>
      <c r="G19" s="35">
        <f>F19*E19</f>
        <v>332724</v>
      </c>
    </row>
    <row r="20" spans="1:8" x14ac:dyDescent="0.2">
      <c r="A20" s="72"/>
      <c r="B20" s="73"/>
      <c r="C20" s="74"/>
      <c r="D20" s="75"/>
      <c r="E20" s="76"/>
      <c r="F20" s="77"/>
      <c r="G20" s="78"/>
    </row>
    <row r="21" spans="1:8" ht="24.75" x14ac:dyDescent="0.2">
      <c r="A21" s="72">
        <v>6.6</v>
      </c>
      <c r="B21" s="79" t="s">
        <v>106</v>
      </c>
      <c r="C21" s="74" t="s">
        <v>590</v>
      </c>
      <c r="D21" s="75" t="s">
        <v>107</v>
      </c>
      <c r="E21" s="76">
        <v>14</v>
      </c>
      <c r="F21" s="35">
        <v>3750</v>
      </c>
      <c r="G21" s="35">
        <f>F21*E21</f>
        <v>52500</v>
      </c>
    </row>
    <row r="22" spans="1:8" x14ac:dyDescent="0.2">
      <c r="A22" s="72"/>
      <c r="B22" s="73"/>
      <c r="C22" s="74"/>
      <c r="D22" s="75"/>
      <c r="E22" s="76"/>
      <c r="F22" s="77"/>
      <c r="G22" s="78"/>
    </row>
    <row r="23" spans="1:8" ht="24.75" x14ac:dyDescent="0.2">
      <c r="A23" s="72">
        <v>6.7</v>
      </c>
      <c r="B23" s="79" t="s">
        <v>106</v>
      </c>
      <c r="C23" s="74" t="s">
        <v>588</v>
      </c>
      <c r="D23" s="75" t="s">
        <v>107</v>
      </c>
      <c r="E23" s="76">
        <v>37</v>
      </c>
      <c r="F23" s="35">
        <v>3000</v>
      </c>
      <c r="G23" s="35">
        <f>F23*E23</f>
        <v>111000</v>
      </c>
    </row>
    <row r="24" spans="1:8" x14ac:dyDescent="0.2">
      <c r="A24" s="72"/>
      <c r="B24" s="73"/>
      <c r="C24" s="74"/>
      <c r="D24" s="75"/>
      <c r="E24" s="76"/>
      <c r="F24" s="77"/>
      <c r="G24" s="78"/>
    </row>
    <row r="25" spans="1:8" ht="36" x14ac:dyDescent="0.2">
      <c r="A25" s="207">
        <v>6.8</v>
      </c>
      <c r="B25" s="233" t="s">
        <v>622</v>
      </c>
      <c r="C25" s="74" t="s">
        <v>599</v>
      </c>
      <c r="D25" s="75" t="s">
        <v>107</v>
      </c>
      <c r="E25" s="76">
        <v>4</v>
      </c>
      <c r="F25" s="35">
        <v>3000</v>
      </c>
      <c r="G25" s="35">
        <f>F25*E25</f>
        <v>12000</v>
      </c>
    </row>
    <row r="26" spans="1:8" x14ac:dyDescent="0.2">
      <c r="A26" s="72"/>
      <c r="B26" s="79"/>
      <c r="C26" s="74"/>
      <c r="D26" s="75"/>
      <c r="E26" s="76"/>
      <c r="F26" s="77"/>
      <c r="G26" s="78"/>
    </row>
    <row r="27" spans="1:8" ht="24.75" x14ac:dyDescent="0.2">
      <c r="A27" s="207">
        <v>6.9</v>
      </c>
      <c r="B27" s="233" t="s">
        <v>622</v>
      </c>
      <c r="C27" s="74" t="s">
        <v>600</v>
      </c>
      <c r="D27" s="75" t="s">
        <v>107</v>
      </c>
      <c r="E27" s="76">
        <v>1</v>
      </c>
      <c r="F27" s="35">
        <v>5250</v>
      </c>
      <c r="G27" s="35">
        <f>F27*E27</f>
        <v>5250</v>
      </c>
    </row>
    <row r="28" spans="1:8" ht="15.75" thickBot="1" x14ac:dyDescent="0.25">
      <c r="A28" s="72"/>
      <c r="B28" s="73"/>
      <c r="C28" s="74"/>
      <c r="D28" s="75"/>
      <c r="E28" s="76"/>
      <c r="F28" s="77"/>
      <c r="G28" s="78"/>
    </row>
    <row r="29" spans="1:8" ht="15" customHeight="1" thickBot="1" x14ac:dyDescent="0.25">
      <c r="A29" s="43" t="s">
        <v>108</v>
      </c>
      <c r="B29" s="44"/>
      <c r="C29" s="45"/>
      <c r="D29" s="46"/>
      <c r="E29" s="46"/>
      <c r="F29" s="47"/>
      <c r="G29" s="48">
        <f>SUM(G11:G28)</f>
        <v>713108</v>
      </c>
    </row>
  </sheetData>
  <mergeCells count="5">
    <mergeCell ref="C1:E1"/>
    <mergeCell ref="C2:E2"/>
    <mergeCell ref="C3:E3"/>
    <mergeCell ref="C4:E4"/>
    <mergeCell ref="A5:B5"/>
  </mergeCells>
  <pageMargins left="0.7" right="0.7" top="0.75" bottom="0.75" header="0.3" footer="0.3"/>
  <pageSetup paperSize="9" scale="7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4A8D-8890-40A5-BE79-3A3CD906DF22}">
  <dimension ref="A1:L135"/>
  <sheetViews>
    <sheetView showGridLines="0" view="pageBreakPreview" zoomScaleSheetLayoutView="100" workbookViewId="0">
      <pane ySplit="6" topLeftCell="A101" activePane="bottomLeft" state="frozen"/>
      <selection activeCell="E23" sqref="E23"/>
      <selection pane="bottomLeft" activeCell="E110" sqref="E110"/>
    </sheetView>
  </sheetViews>
  <sheetFormatPr defaultColWidth="9.16796875" defaultRowHeight="15" customHeight="1" x14ac:dyDescent="0.15"/>
  <cols>
    <col min="1" max="1" width="5.66015625" style="83" customWidth="1"/>
    <col min="2" max="2" width="5.66015625" style="109" customWidth="1"/>
    <col min="3" max="3" width="58.12109375" style="74" customWidth="1"/>
    <col min="4" max="4" width="6.60546875" style="110" customWidth="1"/>
    <col min="5" max="5" width="7.28125" style="109" customWidth="1"/>
    <col min="6" max="6" width="20.6328125" style="111" customWidth="1"/>
    <col min="7" max="7" width="19.1484375" style="111" customWidth="1"/>
    <col min="8" max="8" width="9.16796875" style="83"/>
    <col min="9" max="9" width="13.078125" style="83" bestFit="1" customWidth="1"/>
    <col min="10" max="16384" width="9.16796875" style="83"/>
  </cols>
  <sheetData>
    <row r="1" spans="1:8" customFormat="1" ht="12.75" x14ac:dyDescent="0.15">
      <c r="A1" s="1" t="s">
        <v>0</v>
      </c>
      <c r="B1" s="1"/>
      <c r="C1" s="250" t="s">
        <v>1</v>
      </c>
      <c r="D1" s="250"/>
      <c r="E1" s="2"/>
      <c r="F1" s="3"/>
      <c r="G1" s="3"/>
    </row>
    <row r="2" spans="1:8" customFormat="1" ht="12.75" x14ac:dyDescent="0.15">
      <c r="A2" s="1" t="s">
        <v>2</v>
      </c>
      <c r="B2" s="1"/>
      <c r="C2" s="80" t="s">
        <v>3</v>
      </c>
      <c r="D2" s="8"/>
      <c r="E2" s="5"/>
      <c r="F2" s="3"/>
      <c r="G2" s="3"/>
    </row>
    <row r="3" spans="1:8" ht="15" customHeight="1" x14ac:dyDescent="0.15">
      <c r="A3" s="6" t="s">
        <v>4</v>
      </c>
      <c r="B3" s="6"/>
      <c r="C3" s="81"/>
      <c r="D3" s="82"/>
      <c r="E3" s="8"/>
      <c r="F3" s="9"/>
      <c r="G3" s="9"/>
    </row>
    <row r="4" spans="1:8" ht="15" customHeight="1" x14ac:dyDescent="0.15">
      <c r="A4" s="6" t="s">
        <v>5</v>
      </c>
      <c r="B4" s="6"/>
      <c r="C4" s="81" t="s">
        <v>109</v>
      </c>
      <c r="D4" s="84"/>
      <c r="E4" s="7"/>
      <c r="F4" s="9"/>
      <c r="G4" s="9"/>
    </row>
    <row r="5" spans="1:8" ht="15" customHeight="1" thickBot="1" x14ac:dyDescent="0.2">
      <c r="A5" s="7"/>
      <c r="B5" s="7"/>
      <c r="C5" s="81"/>
      <c r="D5" s="84"/>
      <c r="E5" s="7"/>
      <c r="F5" s="9"/>
      <c r="G5" s="9"/>
    </row>
    <row r="6" spans="1:8" ht="15" customHeight="1" thickBot="1" x14ac:dyDescent="0.2">
      <c r="A6" s="10" t="s">
        <v>7</v>
      </c>
      <c r="B6" s="11"/>
      <c r="C6" s="85" t="s">
        <v>8</v>
      </c>
      <c r="D6" s="12" t="s">
        <v>9</v>
      </c>
      <c r="E6" s="13" t="s">
        <v>10</v>
      </c>
      <c r="F6" s="13" t="s">
        <v>11</v>
      </c>
      <c r="G6" s="14" t="s">
        <v>12</v>
      </c>
    </row>
    <row r="7" spans="1:8" ht="15" customHeight="1" x14ac:dyDescent="0.15">
      <c r="A7" s="72" t="s">
        <v>110</v>
      </c>
      <c r="B7" s="73"/>
      <c r="D7" s="75"/>
      <c r="E7" s="76"/>
      <c r="F7" s="77"/>
      <c r="G7" s="78"/>
    </row>
    <row r="8" spans="1:8" ht="35.25" x14ac:dyDescent="0.15">
      <c r="A8" s="87"/>
      <c r="B8" s="88"/>
      <c r="C8" s="89" t="s">
        <v>111</v>
      </c>
      <c r="D8" s="90"/>
      <c r="E8" s="91"/>
      <c r="F8" s="77"/>
      <c r="G8" s="78"/>
    </row>
    <row r="9" spans="1:8" ht="12.75" x14ac:dyDescent="0.15">
      <c r="A9" s="87"/>
      <c r="B9" s="88"/>
      <c r="C9" s="89"/>
      <c r="D9" s="90"/>
      <c r="E9" s="91"/>
      <c r="F9" s="77"/>
      <c r="G9" s="78"/>
    </row>
    <row r="10" spans="1:8" ht="24" x14ac:dyDescent="0.15">
      <c r="A10" s="87"/>
      <c r="B10" s="88"/>
      <c r="C10" s="89" t="s">
        <v>112</v>
      </c>
      <c r="D10" s="90"/>
      <c r="E10" s="92"/>
      <c r="F10" s="77"/>
      <c r="G10" s="78"/>
    </row>
    <row r="11" spans="1:8" ht="12.75" x14ac:dyDescent="0.15">
      <c r="A11" s="87"/>
      <c r="B11" s="88"/>
      <c r="C11" s="89"/>
      <c r="D11" s="90"/>
      <c r="E11" s="92"/>
      <c r="F11" s="77"/>
      <c r="G11" s="78"/>
    </row>
    <row r="12" spans="1:8" ht="12.75" x14ac:dyDescent="0.15">
      <c r="A12" s="87"/>
      <c r="B12" s="88"/>
      <c r="C12" s="93"/>
      <c r="D12" s="94"/>
      <c r="E12" s="92"/>
      <c r="F12" s="77"/>
      <c r="G12" s="78"/>
    </row>
    <row r="13" spans="1:8" ht="12.75" x14ac:dyDescent="0.15">
      <c r="A13" s="87"/>
      <c r="B13" s="88"/>
      <c r="C13" s="89"/>
      <c r="D13" s="90"/>
      <c r="E13" s="92"/>
      <c r="F13" s="77"/>
      <c r="G13" s="78"/>
    </row>
    <row r="14" spans="1:8" ht="46.5" x14ac:dyDescent="0.15">
      <c r="A14" s="95"/>
      <c r="B14" s="96" t="s">
        <v>113</v>
      </c>
      <c r="C14" s="97" t="s">
        <v>114</v>
      </c>
      <c r="D14" s="90"/>
      <c r="E14" s="92"/>
      <c r="F14" s="77"/>
      <c r="G14" s="78"/>
    </row>
    <row r="15" spans="1:8" ht="15" customHeight="1" x14ac:dyDescent="0.15">
      <c r="A15" s="95"/>
      <c r="B15" s="88"/>
      <c r="C15" s="89" t="s">
        <v>115</v>
      </c>
      <c r="D15" s="90"/>
      <c r="E15" s="92"/>
      <c r="F15" s="77"/>
      <c r="G15" s="78"/>
    </row>
    <row r="16" spans="1:8" ht="15" customHeight="1" x14ac:dyDescent="0.15">
      <c r="A16" s="95"/>
      <c r="B16" s="88"/>
      <c r="C16" s="89" t="s">
        <v>116</v>
      </c>
      <c r="D16" s="90"/>
      <c r="E16" s="92"/>
      <c r="F16" s="77"/>
      <c r="G16" s="78"/>
    </row>
    <row r="17" spans="1:8" ht="15" customHeight="1" x14ac:dyDescent="0.15">
      <c r="A17" s="95"/>
      <c r="B17" s="88"/>
      <c r="C17" s="89" t="s">
        <v>117</v>
      </c>
      <c r="D17" s="90"/>
      <c r="E17" s="92"/>
      <c r="F17" s="77"/>
      <c r="G17" s="78"/>
    </row>
    <row r="18" spans="1:8" ht="15" customHeight="1" x14ac:dyDescent="0.15">
      <c r="A18" s="95"/>
      <c r="B18" s="88"/>
      <c r="C18" s="89" t="s">
        <v>118</v>
      </c>
      <c r="D18" s="90"/>
      <c r="E18" s="92"/>
      <c r="F18" s="77"/>
      <c r="G18" s="78"/>
    </row>
    <row r="19" spans="1:8" ht="15" customHeight="1" x14ac:dyDescent="0.15">
      <c r="A19" s="95"/>
      <c r="B19" s="88"/>
      <c r="C19" s="89" t="s">
        <v>119</v>
      </c>
      <c r="D19" s="90"/>
      <c r="E19" s="92"/>
      <c r="F19" s="77"/>
      <c r="G19" s="78"/>
    </row>
    <row r="20" spans="1:8" ht="15" customHeight="1" x14ac:dyDescent="0.15">
      <c r="A20" s="95"/>
      <c r="B20" s="88"/>
      <c r="C20" s="89" t="s">
        <v>120</v>
      </c>
      <c r="D20" s="90"/>
      <c r="E20" s="92"/>
      <c r="F20" s="77"/>
      <c r="G20" s="78"/>
    </row>
    <row r="21" spans="1:8" ht="15" customHeight="1" x14ac:dyDescent="0.15">
      <c r="A21" s="95"/>
      <c r="B21" s="88"/>
      <c r="C21" s="89"/>
      <c r="D21" s="90"/>
      <c r="E21" s="92"/>
      <c r="F21" s="77"/>
      <c r="G21" s="78"/>
    </row>
    <row r="22" spans="1:8" ht="24" x14ac:dyDescent="0.15">
      <c r="A22" s="95"/>
      <c r="B22" s="88" t="s">
        <v>121</v>
      </c>
      <c r="C22" s="89" t="s">
        <v>122</v>
      </c>
      <c r="D22" s="90" t="s">
        <v>123</v>
      </c>
      <c r="E22" s="92">
        <v>0</v>
      </c>
      <c r="F22" s="77"/>
      <c r="G22" s="78"/>
    </row>
    <row r="23" spans="1:8" ht="16.5" customHeight="1" x14ac:dyDescent="0.15">
      <c r="A23" s="95"/>
      <c r="B23" s="88" t="s">
        <v>124</v>
      </c>
      <c r="C23" s="89" t="s">
        <v>125</v>
      </c>
      <c r="D23" s="90" t="s">
        <v>123</v>
      </c>
      <c r="E23" s="91">
        <v>0</v>
      </c>
      <c r="F23" s="77"/>
      <c r="G23" s="78"/>
    </row>
    <row r="24" spans="1:8" ht="12.75" x14ac:dyDescent="0.15">
      <c r="A24" s="95"/>
      <c r="B24" s="88" t="s">
        <v>126</v>
      </c>
      <c r="C24" s="89" t="s">
        <v>127</v>
      </c>
      <c r="D24" s="90" t="s">
        <v>123</v>
      </c>
      <c r="E24" s="91">
        <v>0</v>
      </c>
      <c r="F24" s="77"/>
      <c r="G24" s="78"/>
    </row>
    <row r="25" spans="1:8" ht="12.75" x14ac:dyDescent="0.15">
      <c r="A25" s="87"/>
      <c r="B25" s="88"/>
      <c r="C25" s="89"/>
      <c r="D25" s="90"/>
      <c r="E25" s="92"/>
      <c r="F25" s="77"/>
      <c r="G25" s="78"/>
    </row>
    <row r="26" spans="1:8" ht="12.75" x14ac:dyDescent="0.15">
      <c r="A26" s="87"/>
      <c r="B26" s="88" t="s">
        <v>128</v>
      </c>
      <c r="C26" s="89" t="s">
        <v>129</v>
      </c>
      <c r="D26" s="90" t="s">
        <v>123</v>
      </c>
      <c r="E26" s="92">
        <v>0</v>
      </c>
      <c r="F26" s="77"/>
      <c r="G26" s="78"/>
    </row>
    <row r="27" spans="1:8" ht="12.75" x14ac:dyDescent="0.15">
      <c r="A27" s="95"/>
      <c r="B27" s="88"/>
      <c r="C27" s="89"/>
      <c r="D27" s="90"/>
      <c r="E27" s="92"/>
      <c r="F27" s="77"/>
      <c r="G27" s="78"/>
    </row>
    <row r="28" spans="1:8" ht="12.75" x14ac:dyDescent="0.15">
      <c r="A28" s="95"/>
      <c r="B28" s="88" t="s">
        <v>130</v>
      </c>
      <c r="C28" s="89" t="s">
        <v>131</v>
      </c>
      <c r="D28" s="90" t="s">
        <v>123</v>
      </c>
      <c r="E28" s="92">
        <v>0</v>
      </c>
      <c r="F28" s="77"/>
      <c r="G28" s="78"/>
    </row>
    <row r="29" spans="1:8" ht="12.75" x14ac:dyDescent="0.15">
      <c r="A29" s="95"/>
      <c r="B29" s="88"/>
      <c r="C29" s="89"/>
      <c r="D29" s="90"/>
      <c r="E29" s="92"/>
      <c r="F29" s="77"/>
      <c r="G29" s="78"/>
    </row>
    <row r="30" spans="1:8" ht="12.75" x14ac:dyDescent="0.15">
      <c r="A30" s="95"/>
      <c r="B30" s="88"/>
      <c r="C30" s="89"/>
      <c r="D30" s="90"/>
      <c r="E30" s="92"/>
      <c r="F30" s="77"/>
      <c r="G30" s="78"/>
    </row>
    <row r="31" spans="1:8" ht="12.75" x14ac:dyDescent="0.15">
      <c r="A31" s="95"/>
      <c r="B31" s="88"/>
      <c r="C31" s="89"/>
      <c r="D31" s="90"/>
      <c r="E31" s="92"/>
      <c r="F31" s="77"/>
      <c r="G31" s="78"/>
    </row>
    <row r="32" spans="1:8" ht="12.75" x14ac:dyDescent="0.15">
      <c r="A32" s="95"/>
      <c r="B32" s="96" t="s">
        <v>132</v>
      </c>
      <c r="C32" s="97" t="s">
        <v>133</v>
      </c>
      <c r="D32" s="98"/>
      <c r="E32" s="92"/>
      <c r="F32" s="77"/>
      <c r="G32" s="78"/>
    </row>
    <row r="33" spans="1:11" ht="24" x14ac:dyDescent="0.15">
      <c r="A33" s="95"/>
      <c r="B33" s="88" t="s">
        <v>134</v>
      </c>
      <c r="C33" s="89" t="s">
        <v>135</v>
      </c>
      <c r="D33" s="90" t="s">
        <v>123</v>
      </c>
      <c r="E33" s="92">
        <v>0</v>
      </c>
      <c r="F33" s="77"/>
      <c r="G33" s="78"/>
    </row>
    <row r="34" spans="1:11" ht="12.75" x14ac:dyDescent="0.15">
      <c r="A34" s="95"/>
      <c r="B34" s="88" t="s">
        <v>136</v>
      </c>
      <c r="C34" s="89" t="s">
        <v>137</v>
      </c>
      <c r="D34" s="90" t="s">
        <v>123</v>
      </c>
      <c r="E34" s="92">
        <v>0</v>
      </c>
      <c r="F34" s="77"/>
      <c r="G34" s="78"/>
    </row>
    <row r="35" spans="1:11" ht="24" x14ac:dyDescent="0.15">
      <c r="A35" s="95"/>
      <c r="B35" s="88" t="s">
        <v>138</v>
      </c>
      <c r="C35" s="89" t="s">
        <v>139</v>
      </c>
      <c r="D35" s="90" t="s">
        <v>123</v>
      </c>
      <c r="E35" s="92">
        <v>0</v>
      </c>
      <c r="F35" s="77"/>
      <c r="G35" s="78"/>
    </row>
    <row r="36" spans="1:11" ht="12.75" x14ac:dyDescent="0.15">
      <c r="A36" s="95"/>
      <c r="B36" s="88"/>
      <c r="C36" s="89"/>
      <c r="D36" s="90"/>
      <c r="E36" s="92"/>
      <c r="F36" s="77"/>
      <c r="G36" s="78"/>
    </row>
    <row r="37" spans="1:11" ht="12.75" x14ac:dyDescent="0.15">
      <c r="A37" s="95"/>
      <c r="B37" s="88"/>
      <c r="C37" s="89"/>
      <c r="D37" s="90"/>
      <c r="E37" s="92"/>
      <c r="F37" s="77"/>
      <c r="G37" s="78"/>
    </row>
    <row r="38" spans="1:11" ht="12.75" x14ac:dyDescent="0.15">
      <c r="A38" s="95"/>
      <c r="B38" s="88"/>
      <c r="C38" s="89"/>
      <c r="D38" s="90"/>
      <c r="E38" s="92"/>
      <c r="F38" s="77"/>
      <c r="G38" s="78"/>
    </row>
    <row r="39" spans="1:11" ht="12.75" x14ac:dyDescent="0.15">
      <c r="A39" s="95"/>
      <c r="B39" s="88"/>
      <c r="C39" s="89"/>
      <c r="D39" s="90"/>
      <c r="E39" s="92"/>
      <c r="F39" s="77"/>
      <c r="G39" s="78"/>
    </row>
    <row r="40" spans="1:11" ht="12.75" x14ac:dyDescent="0.15">
      <c r="A40" s="95"/>
      <c r="B40" s="88"/>
      <c r="C40" s="89"/>
      <c r="D40" s="90"/>
      <c r="E40" s="92"/>
      <c r="F40" s="77"/>
      <c r="G40" s="78"/>
    </row>
    <row r="41" spans="1:11" ht="12.75" x14ac:dyDescent="0.15">
      <c r="A41" s="95"/>
      <c r="B41" s="88"/>
      <c r="C41" s="99"/>
      <c r="D41" s="98"/>
      <c r="E41" s="92"/>
      <c r="F41" s="77"/>
      <c r="G41" s="78"/>
    </row>
    <row r="42" spans="1:11" ht="12.75" x14ac:dyDescent="0.15">
      <c r="A42" s="95"/>
      <c r="B42" s="88" t="s">
        <v>140</v>
      </c>
      <c r="C42" s="97" t="s">
        <v>141</v>
      </c>
      <c r="D42" s="90"/>
      <c r="E42" s="92"/>
      <c r="F42" s="77"/>
      <c r="G42" s="78"/>
    </row>
    <row r="43" spans="1:11" ht="80.25" customHeight="1" x14ac:dyDescent="0.15">
      <c r="A43" s="95"/>
      <c r="B43" s="88"/>
      <c r="C43" s="89" t="s">
        <v>142</v>
      </c>
      <c r="D43" s="100"/>
      <c r="E43" s="101"/>
      <c r="F43" s="77"/>
      <c r="G43" s="78"/>
    </row>
    <row r="44" spans="1:11" ht="18" customHeight="1" x14ac:dyDescent="0.15">
      <c r="A44" s="95"/>
      <c r="B44" s="88" t="s">
        <v>143</v>
      </c>
      <c r="C44" s="89" t="s">
        <v>144</v>
      </c>
      <c r="D44" s="98" t="s">
        <v>145</v>
      </c>
      <c r="E44" s="92">
        <v>14</v>
      </c>
      <c r="F44" s="35">
        <v>85</v>
      </c>
      <c r="G44" s="35">
        <f>F44*E44</f>
        <v>1190</v>
      </c>
    </row>
    <row r="45" spans="1:11" ht="18" customHeight="1" x14ac:dyDescent="0.15">
      <c r="A45" s="95"/>
      <c r="B45" s="88" t="s">
        <v>146</v>
      </c>
      <c r="C45" s="89" t="s">
        <v>147</v>
      </c>
      <c r="D45" s="98" t="s">
        <v>145</v>
      </c>
      <c r="E45" s="92">
        <v>20</v>
      </c>
      <c r="F45" s="35">
        <v>65</v>
      </c>
      <c r="G45" s="35">
        <f>F45*E45</f>
        <v>1300</v>
      </c>
    </row>
    <row r="46" spans="1:11" ht="18" customHeight="1" x14ac:dyDescent="0.15">
      <c r="A46" s="95"/>
      <c r="B46" s="88" t="s">
        <v>148</v>
      </c>
      <c r="C46" s="89" t="s">
        <v>149</v>
      </c>
      <c r="D46" s="98" t="s">
        <v>145</v>
      </c>
      <c r="E46" s="92">
        <v>232</v>
      </c>
      <c r="F46" s="35">
        <v>47</v>
      </c>
      <c r="G46" s="35">
        <f>F46*E46</f>
        <v>10904</v>
      </c>
    </row>
    <row r="47" spans="1:11" ht="18" customHeight="1" x14ac:dyDescent="0.15">
      <c r="A47" s="95"/>
      <c r="B47" s="88" t="s">
        <v>150</v>
      </c>
      <c r="C47" s="89" t="s">
        <v>151</v>
      </c>
      <c r="D47" s="98" t="s">
        <v>145</v>
      </c>
      <c r="E47" s="92">
        <v>485</v>
      </c>
      <c r="F47" s="35">
        <v>25</v>
      </c>
      <c r="G47" s="35">
        <f>F47*E47</f>
        <v>12125</v>
      </c>
    </row>
    <row r="48" spans="1:11" ht="18" customHeight="1" x14ac:dyDescent="0.15">
      <c r="A48" s="95"/>
      <c r="B48" s="88"/>
      <c r="C48" s="89"/>
      <c r="D48" s="98"/>
      <c r="E48" s="92"/>
      <c r="F48" s="77"/>
      <c r="G48" s="78"/>
    </row>
    <row r="49" spans="1:8" ht="14.25" customHeight="1" x14ac:dyDescent="0.15">
      <c r="A49" s="95"/>
      <c r="B49" s="88"/>
      <c r="C49" s="89"/>
      <c r="D49" s="98"/>
      <c r="E49" s="92"/>
      <c r="F49" s="77"/>
      <c r="G49" s="78"/>
    </row>
    <row r="50" spans="1:8" ht="6.75" customHeight="1" x14ac:dyDescent="0.15">
      <c r="A50" s="95"/>
      <c r="B50" s="88"/>
      <c r="C50" s="89"/>
      <c r="D50" s="98"/>
      <c r="E50" s="92"/>
      <c r="F50" s="77"/>
      <c r="G50" s="78"/>
    </row>
    <row r="51" spans="1:8" ht="12.75" x14ac:dyDescent="0.15">
      <c r="A51" s="95"/>
      <c r="B51" s="88"/>
      <c r="C51" s="89"/>
      <c r="D51" s="98"/>
      <c r="E51" s="92"/>
      <c r="F51" s="77"/>
      <c r="G51" s="78"/>
    </row>
    <row r="52" spans="1:8" ht="12.75" x14ac:dyDescent="0.15">
      <c r="A52" s="95"/>
      <c r="B52" s="88"/>
      <c r="C52" s="89"/>
      <c r="D52" s="98"/>
      <c r="E52" s="92"/>
      <c r="F52" s="77"/>
      <c r="G52" s="78"/>
    </row>
    <row r="53" spans="1:8" ht="35.25" x14ac:dyDescent="0.15">
      <c r="A53" s="95"/>
      <c r="B53" s="88" t="s">
        <v>152</v>
      </c>
      <c r="C53" s="89" t="s">
        <v>153</v>
      </c>
      <c r="D53" s="98" t="s">
        <v>123</v>
      </c>
      <c r="E53" s="92">
        <v>8</v>
      </c>
      <c r="F53" s="35">
        <v>5625</v>
      </c>
      <c r="G53" s="35">
        <f>F53*E53</f>
        <v>45000</v>
      </c>
    </row>
    <row r="54" spans="1:8" ht="12.75" x14ac:dyDescent="0.15">
      <c r="A54" s="95"/>
      <c r="B54" s="88"/>
      <c r="C54" s="89"/>
      <c r="D54" s="98"/>
      <c r="E54" s="92"/>
      <c r="F54" s="77"/>
      <c r="G54" s="78"/>
    </row>
    <row r="55" spans="1:8" ht="12.75" x14ac:dyDescent="0.15">
      <c r="A55" s="95"/>
      <c r="B55" s="88"/>
      <c r="C55" s="89"/>
      <c r="D55" s="98"/>
      <c r="E55" s="92"/>
      <c r="F55" s="77"/>
      <c r="G55" s="78"/>
    </row>
    <row r="56" spans="1:8" ht="12.75" x14ac:dyDescent="0.15">
      <c r="A56" s="87"/>
      <c r="B56" s="96" t="s">
        <v>154</v>
      </c>
      <c r="C56" s="97" t="s">
        <v>155</v>
      </c>
      <c r="D56" s="90"/>
      <c r="E56" s="92"/>
      <c r="F56" s="77"/>
      <c r="G56" s="78"/>
    </row>
    <row r="57" spans="1:8" ht="12.75" x14ac:dyDescent="0.15">
      <c r="A57" s="87"/>
      <c r="B57" s="88"/>
      <c r="C57" s="99"/>
      <c r="D57" s="90"/>
      <c r="E57" s="92"/>
      <c r="F57" s="77"/>
      <c r="G57" s="78"/>
    </row>
    <row r="58" spans="1:8" ht="58.5" x14ac:dyDescent="0.15">
      <c r="A58" s="95"/>
      <c r="B58" s="88" t="s">
        <v>156</v>
      </c>
      <c r="C58" s="89" t="s">
        <v>157</v>
      </c>
      <c r="D58" s="94" t="s">
        <v>123</v>
      </c>
      <c r="E58" s="102">
        <v>1</v>
      </c>
      <c r="F58" s="35">
        <v>54500</v>
      </c>
      <c r="G58" s="35">
        <f>F58*E58</f>
        <v>54500</v>
      </c>
    </row>
    <row r="59" spans="1:8" ht="15" customHeight="1" x14ac:dyDescent="0.15">
      <c r="A59" s="95"/>
      <c r="B59" s="88"/>
      <c r="D59" s="94"/>
      <c r="E59" s="94"/>
      <c r="F59" s="77"/>
      <c r="G59" s="78"/>
    </row>
    <row r="60" spans="1:8" ht="15" customHeight="1" x14ac:dyDescent="0.15">
      <c r="A60" s="95"/>
      <c r="B60" s="88"/>
      <c r="C60" s="89"/>
      <c r="D60" s="94"/>
      <c r="E60" s="94"/>
      <c r="F60" s="77"/>
      <c r="G60" s="78"/>
    </row>
    <row r="61" spans="1:8" ht="12.75" x14ac:dyDescent="0.15">
      <c r="A61" s="95"/>
      <c r="B61" s="88"/>
      <c r="C61" s="89"/>
      <c r="D61" s="94"/>
      <c r="E61" s="102"/>
      <c r="F61" s="77"/>
      <c r="G61" s="78"/>
    </row>
    <row r="62" spans="1:8" ht="15" customHeight="1" x14ac:dyDescent="0.15">
      <c r="A62" s="95"/>
      <c r="B62" s="88"/>
      <c r="C62" s="89"/>
      <c r="D62" s="94"/>
      <c r="E62" s="102"/>
      <c r="F62" s="77"/>
      <c r="G62" s="78"/>
    </row>
    <row r="63" spans="1:8" ht="12.75" x14ac:dyDescent="0.15">
      <c r="A63" s="95"/>
      <c r="B63" s="88"/>
      <c r="C63" s="89"/>
      <c r="D63" s="98"/>
      <c r="E63" s="92"/>
      <c r="F63" s="77"/>
      <c r="G63" s="78"/>
    </row>
    <row r="64" spans="1:8" ht="58.5" x14ac:dyDescent="0.15">
      <c r="A64" s="95"/>
      <c r="B64" s="88" t="s">
        <v>158</v>
      </c>
      <c r="C64" s="89" t="s">
        <v>159</v>
      </c>
      <c r="D64" s="94" t="s">
        <v>123</v>
      </c>
      <c r="E64" s="102">
        <v>4</v>
      </c>
      <c r="F64" s="35">
        <v>6250</v>
      </c>
      <c r="G64" s="35">
        <f>F64*E64</f>
        <v>25000</v>
      </c>
    </row>
    <row r="65" spans="1:12" ht="12.75" x14ac:dyDescent="0.15">
      <c r="A65" s="95"/>
      <c r="B65" s="88"/>
      <c r="C65" s="89"/>
      <c r="D65" s="98"/>
      <c r="E65" s="92"/>
      <c r="F65" s="77"/>
      <c r="G65" s="78"/>
    </row>
    <row r="66" spans="1:12" ht="12.75" x14ac:dyDescent="0.15">
      <c r="A66" s="95"/>
      <c r="B66" s="88"/>
      <c r="C66" s="89"/>
      <c r="D66" s="98"/>
      <c r="E66" s="92"/>
      <c r="F66" s="77"/>
      <c r="G66" s="78"/>
    </row>
    <row r="67" spans="1:12" ht="12.75" x14ac:dyDescent="0.15">
      <c r="A67" s="95"/>
      <c r="B67" s="88"/>
      <c r="C67" s="89"/>
      <c r="D67" s="98"/>
      <c r="E67" s="92"/>
      <c r="F67" s="77"/>
      <c r="G67" s="78"/>
    </row>
    <row r="68" spans="1:12" ht="12.75" x14ac:dyDescent="0.15">
      <c r="A68" s="95"/>
      <c r="B68" s="88"/>
      <c r="C68" s="89"/>
      <c r="D68" s="98"/>
      <c r="E68" s="92"/>
      <c r="F68" s="77"/>
      <c r="G68" s="78"/>
    </row>
    <row r="69" spans="1:12" ht="12.75" x14ac:dyDescent="0.15">
      <c r="A69" s="95"/>
      <c r="B69" s="88"/>
      <c r="C69" s="89"/>
      <c r="D69" s="98"/>
      <c r="E69" s="92"/>
      <c r="F69" s="77"/>
      <c r="G69" s="78"/>
    </row>
    <row r="70" spans="1:12" ht="12.75" x14ac:dyDescent="0.15">
      <c r="A70" s="95"/>
      <c r="B70" s="88"/>
      <c r="C70" s="89"/>
      <c r="D70" s="98"/>
      <c r="E70" s="92"/>
      <c r="F70" s="77"/>
      <c r="G70" s="78"/>
    </row>
    <row r="71" spans="1:12" ht="12.75" x14ac:dyDescent="0.15">
      <c r="A71" s="95"/>
      <c r="B71" s="88"/>
      <c r="C71" s="89"/>
      <c r="D71" s="98"/>
      <c r="E71" s="92"/>
      <c r="F71" s="77"/>
      <c r="G71" s="78"/>
    </row>
    <row r="72" spans="1:12" ht="12.75" x14ac:dyDescent="0.15">
      <c r="A72" s="95"/>
      <c r="B72" s="96" t="s">
        <v>160</v>
      </c>
      <c r="C72" s="97" t="s">
        <v>161</v>
      </c>
      <c r="D72" s="98"/>
      <c r="E72" s="92"/>
      <c r="F72" s="77"/>
      <c r="G72" s="78"/>
    </row>
    <row r="73" spans="1:12" ht="12.75" x14ac:dyDescent="0.15">
      <c r="A73" s="95"/>
      <c r="B73" s="88"/>
      <c r="C73" s="99"/>
      <c r="D73" s="94"/>
      <c r="E73" s="102"/>
      <c r="F73" s="77"/>
      <c r="G73" s="78"/>
    </row>
    <row r="74" spans="1:12" ht="69.75" x14ac:dyDescent="0.15">
      <c r="A74" s="95"/>
      <c r="B74" s="88"/>
      <c r="C74" s="89" t="s">
        <v>162</v>
      </c>
      <c r="D74" s="94"/>
      <c r="E74" s="92"/>
      <c r="F74" s="77"/>
      <c r="G74" s="78"/>
    </row>
    <row r="75" spans="1:12" ht="12.75" x14ac:dyDescent="0.15">
      <c r="A75" s="95"/>
      <c r="B75" s="88"/>
      <c r="C75" s="89"/>
      <c r="D75" s="94"/>
      <c r="E75" s="102"/>
      <c r="F75" s="77"/>
      <c r="G75" s="78"/>
    </row>
    <row r="76" spans="1:12" ht="15" customHeight="1" x14ac:dyDescent="0.15">
      <c r="A76" s="95"/>
      <c r="B76" s="88"/>
      <c r="C76" s="89"/>
      <c r="D76" s="98"/>
      <c r="E76" s="92"/>
      <c r="F76" s="77"/>
      <c r="G76" s="78"/>
    </row>
    <row r="77" spans="1:12" ht="13.5" customHeight="1" x14ac:dyDescent="0.15">
      <c r="A77" s="87"/>
      <c r="B77" s="88" t="s">
        <v>163</v>
      </c>
      <c r="C77" s="89" t="s">
        <v>164</v>
      </c>
      <c r="D77" s="94" t="s">
        <v>145</v>
      </c>
      <c r="E77" s="98">
        <v>164</v>
      </c>
      <c r="F77" s="35">
        <v>192</v>
      </c>
      <c r="G77" s="35">
        <f>F77*E77</f>
        <v>31488</v>
      </c>
    </row>
    <row r="78" spans="1:12" ht="13.5" x14ac:dyDescent="0.15">
      <c r="A78" s="87"/>
      <c r="B78" s="88" t="s">
        <v>165</v>
      </c>
      <c r="C78" s="89" t="s">
        <v>166</v>
      </c>
      <c r="D78" s="94" t="s">
        <v>145</v>
      </c>
      <c r="E78" s="98">
        <v>83</v>
      </c>
      <c r="F78" s="35">
        <v>125</v>
      </c>
      <c r="G78" s="35">
        <f>F78*E78</f>
        <v>10375</v>
      </c>
    </row>
    <row r="79" spans="1:12" ht="24" x14ac:dyDescent="0.15">
      <c r="A79" s="95"/>
      <c r="B79" s="88" t="s">
        <v>167</v>
      </c>
      <c r="C79" s="89" t="s">
        <v>168</v>
      </c>
      <c r="D79" s="94" t="s">
        <v>145</v>
      </c>
      <c r="E79" s="94">
        <v>78</v>
      </c>
      <c r="F79" s="35">
        <v>67</v>
      </c>
      <c r="G79" s="35">
        <f>F79*E79</f>
        <v>5226</v>
      </c>
    </row>
    <row r="80" spans="1:12" ht="18" customHeight="1" x14ac:dyDescent="0.15">
      <c r="A80" s="95"/>
      <c r="B80" s="88"/>
      <c r="C80" s="89"/>
      <c r="D80" s="94"/>
      <c r="E80" s="98"/>
      <c r="F80" s="77"/>
      <c r="G80" s="78"/>
    </row>
    <row r="81" spans="1:8" ht="17.25" customHeight="1" x14ac:dyDescent="0.15">
      <c r="A81" s="95"/>
      <c r="B81" s="88" t="s">
        <v>169</v>
      </c>
      <c r="C81" s="89" t="s">
        <v>170</v>
      </c>
      <c r="D81" s="76"/>
      <c r="E81" s="91"/>
      <c r="F81" s="77"/>
      <c r="G81" s="78"/>
    </row>
    <row r="82" spans="1:8" ht="15" customHeight="1" x14ac:dyDescent="0.15">
      <c r="A82" s="95"/>
      <c r="B82" s="88"/>
      <c r="C82" s="212" t="s">
        <v>171</v>
      </c>
      <c r="D82" s="90" t="s">
        <v>123</v>
      </c>
      <c r="E82" s="91">
        <v>7</v>
      </c>
      <c r="F82" s="35">
        <v>563</v>
      </c>
      <c r="G82" s="35">
        <f>F82*E82</f>
        <v>3941</v>
      </c>
    </row>
    <row r="83" spans="1:8" ht="27.75" customHeight="1" x14ac:dyDescent="0.15">
      <c r="A83" s="95"/>
      <c r="B83" s="88"/>
      <c r="C83" s="89" t="s">
        <v>172</v>
      </c>
      <c r="D83" s="90" t="s">
        <v>123</v>
      </c>
      <c r="E83" s="91">
        <v>0</v>
      </c>
      <c r="F83" s="77"/>
      <c r="G83" s="78"/>
    </row>
    <row r="84" spans="1:8" ht="51.75" customHeight="1" x14ac:dyDescent="0.15">
      <c r="A84" s="95"/>
      <c r="B84" s="88"/>
      <c r="C84" s="205" t="s">
        <v>591</v>
      </c>
      <c r="D84" s="90"/>
      <c r="E84" s="91"/>
      <c r="F84" s="77"/>
      <c r="G84" s="78"/>
    </row>
    <row r="85" spans="1:8" ht="27.75" customHeight="1" x14ac:dyDescent="0.15">
      <c r="A85" s="95"/>
      <c r="B85" s="88" t="s">
        <v>592</v>
      </c>
      <c r="C85" s="212" t="s">
        <v>593</v>
      </c>
      <c r="D85" s="90" t="s">
        <v>123</v>
      </c>
      <c r="E85" s="91">
        <v>17</v>
      </c>
      <c r="F85" s="35">
        <v>275</v>
      </c>
      <c r="G85" s="35">
        <f>F85*E85</f>
        <v>4675</v>
      </c>
    </row>
    <row r="86" spans="1:8" ht="24" x14ac:dyDescent="0.15">
      <c r="A86" s="95"/>
      <c r="B86" s="88" t="s">
        <v>594</v>
      </c>
      <c r="C86" s="206" t="s">
        <v>595</v>
      </c>
      <c r="D86" s="90" t="s">
        <v>123</v>
      </c>
      <c r="E86" s="91">
        <v>0</v>
      </c>
      <c r="F86" s="77"/>
      <c r="G86" s="78"/>
    </row>
    <row r="87" spans="1:8" ht="12.75" x14ac:dyDescent="0.15">
      <c r="A87" s="87"/>
      <c r="B87" s="88"/>
      <c r="C87" s="89"/>
      <c r="D87" s="90"/>
      <c r="E87" s="91"/>
      <c r="F87" s="77"/>
      <c r="G87" s="78"/>
    </row>
    <row r="88" spans="1:8" ht="12.75" x14ac:dyDescent="0.15">
      <c r="A88" s="87"/>
      <c r="B88" s="88"/>
      <c r="C88" s="89"/>
      <c r="D88" s="90"/>
      <c r="E88" s="91"/>
      <c r="F88" s="77"/>
      <c r="G88" s="78"/>
    </row>
    <row r="89" spans="1:8" ht="16.5" customHeight="1" x14ac:dyDescent="0.15">
      <c r="A89" s="87"/>
      <c r="B89" s="96" t="s">
        <v>173</v>
      </c>
      <c r="C89" s="97" t="s">
        <v>174</v>
      </c>
      <c r="D89" s="90"/>
      <c r="E89" s="91"/>
      <c r="F89" s="77"/>
      <c r="G89" s="78"/>
    </row>
    <row r="90" spans="1:8" ht="24" x14ac:dyDescent="0.15">
      <c r="A90" s="87"/>
      <c r="B90" s="88" t="s">
        <v>175</v>
      </c>
      <c r="C90" s="89" t="s">
        <v>176</v>
      </c>
      <c r="D90" s="94" t="s">
        <v>123</v>
      </c>
      <c r="E90" s="102">
        <v>3</v>
      </c>
      <c r="F90" s="35">
        <v>4375</v>
      </c>
      <c r="G90" s="35">
        <f>F90*E90</f>
        <v>13125</v>
      </c>
    </row>
    <row r="91" spans="1:8" ht="12.75" x14ac:dyDescent="0.15">
      <c r="A91" s="87"/>
      <c r="B91" s="88"/>
      <c r="C91" s="89" t="s">
        <v>177</v>
      </c>
      <c r="D91" s="98"/>
      <c r="E91" s="92"/>
      <c r="F91" s="77"/>
      <c r="G91" s="78"/>
    </row>
    <row r="92" spans="1:8" ht="12.75" x14ac:dyDescent="0.15">
      <c r="A92" s="87"/>
      <c r="B92" s="88"/>
      <c r="C92" s="89"/>
      <c r="D92" s="94"/>
      <c r="E92" s="102"/>
      <c r="F92" s="77"/>
      <c r="G92" s="78"/>
    </row>
    <row r="93" spans="1:8" ht="24" x14ac:dyDescent="0.15">
      <c r="A93" s="87"/>
      <c r="B93" s="88" t="s">
        <v>178</v>
      </c>
      <c r="C93" s="89" t="s">
        <v>179</v>
      </c>
      <c r="D93" s="94" t="s">
        <v>123</v>
      </c>
      <c r="E93" s="102">
        <v>1</v>
      </c>
      <c r="F93" s="35">
        <v>2250</v>
      </c>
      <c r="G93" s="35">
        <f>F93*E93</f>
        <v>2250</v>
      </c>
    </row>
    <row r="94" spans="1:8" ht="12.75" x14ac:dyDescent="0.15">
      <c r="A94" s="87"/>
      <c r="B94" s="88"/>
      <c r="C94" s="89"/>
      <c r="D94" s="98"/>
      <c r="E94" s="92"/>
      <c r="F94" s="77"/>
      <c r="G94" s="78"/>
    </row>
    <row r="95" spans="1:8" ht="12.75" x14ac:dyDescent="0.15">
      <c r="A95" s="87"/>
      <c r="B95" s="88"/>
      <c r="C95" s="89"/>
      <c r="D95" s="94"/>
      <c r="E95" s="102"/>
      <c r="F95" s="77"/>
      <c r="G95" s="78"/>
    </row>
    <row r="96" spans="1:8" ht="12.75" x14ac:dyDescent="0.15">
      <c r="A96" s="87"/>
      <c r="B96" s="88"/>
      <c r="C96" s="89"/>
      <c r="D96" s="98"/>
      <c r="E96" s="92"/>
      <c r="F96" s="77"/>
      <c r="G96" s="78"/>
    </row>
    <row r="97" spans="1:12" ht="12.75" x14ac:dyDescent="0.15">
      <c r="A97" s="87"/>
      <c r="B97" s="88"/>
      <c r="C97" s="89"/>
      <c r="D97" s="90"/>
      <c r="E97" s="91"/>
      <c r="F97" s="77"/>
      <c r="G97" s="78"/>
    </row>
    <row r="98" spans="1:12" ht="12.75" x14ac:dyDescent="0.15">
      <c r="A98" s="87"/>
      <c r="B98" s="88"/>
      <c r="C98" s="89"/>
      <c r="D98" s="90"/>
      <c r="E98" s="91"/>
      <c r="F98" s="77"/>
      <c r="G98" s="78"/>
    </row>
    <row r="99" spans="1:12" ht="15" customHeight="1" x14ac:dyDescent="0.15">
      <c r="A99" s="95"/>
      <c r="B99" s="96" t="s">
        <v>180</v>
      </c>
      <c r="C99" s="97" t="s">
        <v>181</v>
      </c>
      <c r="D99" s="76"/>
      <c r="E99" s="91"/>
      <c r="F99" s="77"/>
      <c r="G99" s="78"/>
    </row>
    <row r="100" spans="1:12" ht="15" customHeight="1" x14ac:dyDescent="0.15">
      <c r="A100" s="95"/>
      <c r="B100" s="88"/>
      <c r="C100" s="99"/>
      <c r="D100" s="76"/>
      <c r="E100" s="91"/>
      <c r="F100" s="77"/>
      <c r="G100" s="78"/>
    </row>
    <row r="101" spans="1:12" ht="69.75" x14ac:dyDescent="0.15">
      <c r="A101" s="95"/>
      <c r="B101" s="88"/>
      <c r="C101" s="89" t="s">
        <v>182</v>
      </c>
      <c r="D101" s="76"/>
      <c r="E101" s="91"/>
      <c r="F101" s="77"/>
      <c r="G101" s="78"/>
    </row>
    <row r="102" spans="1:12" ht="15" customHeight="1" x14ac:dyDescent="0.15">
      <c r="A102" s="95"/>
      <c r="B102" s="88"/>
      <c r="C102" s="99"/>
      <c r="D102" s="76"/>
      <c r="E102" s="91"/>
      <c r="F102" s="77"/>
      <c r="G102" s="78"/>
    </row>
    <row r="103" spans="1:12" ht="24.75" customHeight="1" x14ac:dyDescent="0.15">
      <c r="A103" s="95"/>
      <c r="B103" s="88" t="s">
        <v>183</v>
      </c>
      <c r="C103" s="89" t="s">
        <v>184</v>
      </c>
      <c r="D103" s="103" t="s">
        <v>145</v>
      </c>
      <c r="E103" s="104">
        <v>0</v>
      </c>
      <c r="F103" s="77"/>
      <c r="G103" s="78"/>
    </row>
    <row r="104" spans="1:12" ht="15" customHeight="1" x14ac:dyDescent="0.15">
      <c r="A104" s="95"/>
      <c r="B104" s="88"/>
      <c r="C104" s="89"/>
      <c r="D104" s="103"/>
      <c r="E104" s="91"/>
      <c r="F104" s="77"/>
      <c r="G104" s="78"/>
    </row>
    <row r="105" spans="1:12" ht="31.5" customHeight="1" x14ac:dyDescent="0.15">
      <c r="A105" s="95"/>
      <c r="B105" s="88" t="s">
        <v>185</v>
      </c>
      <c r="C105" s="89" t="s">
        <v>186</v>
      </c>
      <c r="D105" s="103" t="s">
        <v>145</v>
      </c>
      <c r="E105" s="104">
        <v>130</v>
      </c>
      <c r="F105" s="35">
        <v>100</v>
      </c>
      <c r="G105" s="35">
        <f>F105*E105</f>
        <v>13000</v>
      </c>
    </row>
    <row r="106" spans="1:12" ht="31.5" customHeight="1" x14ac:dyDescent="0.15">
      <c r="A106" s="95"/>
      <c r="B106" s="88" t="s">
        <v>187</v>
      </c>
      <c r="C106" s="105" t="s">
        <v>188</v>
      </c>
      <c r="D106" s="103" t="s">
        <v>107</v>
      </c>
      <c r="E106" s="234">
        <v>17</v>
      </c>
      <c r="F106" s="35">
        <v>813</v>
      </c>
      <c r="G106" s="35">
        <f>F106*E106</f>
        <v>13821</v>
      </c>
    </row>
    <row r="107" spans="1:12" ht="15" customHeight="1" x14ac:dyDescent="0.15">
      <c r="A107" s="95"/>
      <c r="B107" s="88" t="s">
        <v>189</v>
      </c>
      <c r="C107" s="89" t="s">
        <v>190</v>
      </c>
      <c r="D107" s="76"/>
      <c r="E107" s="91"/>
      <c r="F107" s="77"/>
      <c r="G107" s="78"/>
    </row>
    <row r="108" spans="1:12" ht="15" customHeight="1" x14ac:dyDescent="0.15">
      <c r="A108" s="95"/>
      <c r="B108" s="88"/>
      <c r="C108" s="89" t="s">
        <v>171</v>
      </c>
      <c r="D108" s="90" t="s">
        <v>123</v>
      </c>
      <c r="E108" s="91">
        <v>0</v>
      </c>
      <c r="F108" s="77"/>
      <c r="G108" s="78"/>
    </row>
    <row r="109" spans="1:12" ht="15" customHeight="1" x14ac:dyDescent="0.15">
      <c r="A109" s="95"/>
      <c r="B109" s="88"/>
      <c r="C109" s="89" t="s">
        <v>172</v>
      </c>
      <c r="D109" s="90" t="s">
        <v>123</v>
      </c>
      <c r="E109" s="91">
        <v>0</v>
      </c>
      <c r="F109" s="77"/>
      <c r="G109" s="78"/>
    </row>
    <row r="110" spans="1:12" ht="15" customHeight="1" x14ac:dyDescent="0.15">
      <c r="A110" s="95"/>
      <c r="B110" s="88"/>
      <c r="C110" s="89"/>
      <c r="D110" s="90"/>
      <c r="E110" s="91"/>
      <c r="F110" s="77"/>
      <c r="G110" s="78"/>
    </row>
    <row r="111" spans="1:12" ht="15" customHeight="1" x14ac:dyDescent="0.15">
      <c r="A111" s="95"/>
      <c r="B111" s="88"/>
      <c r="C111" s="89"/>
      <c r="D111" s="90"/>
      <c r="E111" s="91"/>
      <c r="F111" s="77"/>
      <c r="G111" s="78"/>
    </row>
    <row r="112" spans="1:12" ht="35.25" x14ac:dyDescent="0.15">
      <c r="A112" s="95"/>
      <c r="B112" s="88" t="s">
        <v>191</v>
      </c>
      <c r="C112" s="89" t="s">
        <v>192</v>
      </c>
      <c r="D112" s="94"/>
      <c r="E112" s="91"/>
      <c r="F112" s="77"/>
      <c r="G112" s="78"/>
    </row>
    <row r="113" spans="1:11" ht="12.75" x14ac:dyDescent="0.15">
      <c r="A113" s="95"/>
      <c r="B113" s="88"/>
      <c r="C113" s="89" t="s">
        <v>193</v>
      </c>
      <c r="D113" s="94"/>
      <c r="E113" s="91"/>
      <c r="F113" s="77"/>
      <c r="G113" s="78"/>
    </row>
    <row r="114" spans="1:11" ht="15.75" customHeight="1" x14ac:dyDescent="0.15">
      <c r="A114" s="95"/>
      <c r="B114" s="88"/>
      <c r="C114" s="89"/>
      <c r="D114" s="94"/>
      <c r="E114" s="91"/>
      <c r="F114" s="77"/>
      <c r="G114" s="78"/>
    </row>
    <row r="115" spans="1:11" ht="16.5" customHeight="1" x14ac:dyDescent="0.15">
      <c r="A115" s="95"/>
      <c r="B115" s="88"/>
      <c r="C115" s="212" t="s">
        <v>194</v>
      </c>
      <c r="D115" s="94" t="s">
        <v>107</v>
      </c>
      <c r="E115" s="91">
        <v>16</v>
      </c>
      <c r="F115" s="35">
        <v>438</v>
      </c>
      <c r="G115" s="35">
        <f>F115*E115</f>
        <v>7008</v>
      </c>
    </row>
    <row r="116" spans="1:11" ht="15" customHeight="1" x14ac:dyDescent="0.15">
      <c r="A116" s="95"/>
      <c r="B116" s="88"/>
      <c r="C116" s="89" t="s">
        <v>195</v>
      </c>
      <c r="D116" s="94" t="s">
        <v>107</v>
      </c>
      <c r="E116" s="91">
        <v>72</v>
      </c>
      <c r="F116" s="35">
        <v>188</v>
      </c>
      <c r="G116" s="35">
        <f>F116*E116</f>
        <v>13536</v>
      </c>
    </row>
    <row r="117" spans="1:11" ht="15" customHeight="1" x14ac:dyDescent="0.15">
      <c r="A117" s="87"/>
      <c r="B117" s="88"/>
      <c r="C117" s="89"/>
      <c r="D117" s="94"/>
      <c r="E117" s="91"/>
      <c r="F117" s="77"/>
      <c r="G117" s="78"/>
    </row>
    <row r="118" spans="1:11" ht="12.75" x14ac:dyDescent="0.15">
      <c r="A118" s="87"/>
      <c r="B118" s="88"/>
      <c r="C118" s="89"/>
      <c r="D118" s="98"/>
      <c r="E118" s="91"/>
      <c r="F118" s="77"/>
      <c r="G118" s="78"/>
    </row>
    <row r="119" spans="1:11" ht="13.5" x14ac:dyDescent="0.15">
      <c r="A119" s="95"/>
      <c r="B119" s="88" t="s">
        <v>196</v>
      </c>
      <c r="C119" s="89" t="s">
        <v>197</v>
      </c>
      <c r="D119" s="94" t="s">
        <v>107</v>
      </c>
      <c r="E119" s="91">
        <v>24</v>
      </c>
      <c r="F119" s="35">
        <v>188</v>
      </c>
      <c r="G119" s="35">
        <f>F119*E119</f>
        <v>4512</v>
      </c>
    </row>
    <row r="120" spans="1:11" ht="12.75" x14ac:dyDescent="0.15">
      <c r="A120" s="95"/>
      <c r="B120" s="88"/>
      <c r="C120" s="89"/>
      <c r="D120" s="98"/>
      <c r="E120" s="91"/>
      <c r="F120" s="77"/>
      <c r="G120" s="78"/>
    </row>
    <row r="121" spans="1:11" ht="12.75" x14ac:dyDescent="0.15">
      <c r="A121" s="95"/>
      <c r="B121" s="88"/>
      <c r="C121" s="89"/>
      <c r="D121" s="98"/>
      <c r="E121" s="91"/>
      <c r="F121" s="77"/>
      <c r="G121" s="78"/>
    </row>
    <row r="122" spans="1:11" ht="12.75" x14ac:dyDescent="0.15">
      <c r="A122" s="95"/>
      <c r="B122" s="96" t="s">
        <v>198</v>
      </c>
      <c r="C122" s="106" t="s">
        <v>199</v>
      </c>
      <c r="D122" s="98"/>
      <c r="E122" s="91"/>
      <c r="F122" s="77"/>
      <c r="G122" s="78"/>
    </row>
    <row r="123" spans="1:11" ht="12.75" x14ac:dyDescent="0.15">
      <c r="A123" s="87"/>
      <c r="B123" s="88"/>
      <c r="C123" s="89"/>
      <c r="D123" s="98"/>
      <c r="E123" s="91"/>
      <c r="F123" s="77"/>
      <c r="G123" s="78"/>
    </row>
    <row r="124" spans="1:11" ht="104.25" x14ac:dyDescent="0.15">
      <c r="A124" s="87"/>
      <c r="B124" s="88"/>
      <c r="C124" s="89" t="s">
        <v>200</v>
      </c>
      <c r="D124" s="94" t="s">
        <v>201</v>
      </c>
      <c r="E124" s="104">
        <v>1</v>
      </c>
      <c r="F124" s="35">
        <v>50625</v>
      </c>
      <c r="G124" s="35">
        <f>F124*E124</f>
        <v>50625</v>
      </c>
    </row>
    <row r="125" spans="1:11" ht="12.75" x14ac:dyDescent="0.15">
      <c r="A125" s="95"/>
      <c r="B125" s="88"/>
      <c r="C125" s="89"/>
      <c r="D125" s="98"/>
      <c r="E125" s="91"/>
      <c r="F125" s="77"/>
      <c r="G125" s="78"/>
    </row>
    <row r="126" spans="1:11" ht="12.75" x14ac:dyDescent="0.15">
      <c r="A126" s="95"/>
      <c r="B126" s="88"/>
      <c r="C126" s="89"/>
      <c r="D126" s="98"/>
      <c r="E126" s="91"/>
      <c r="F126" s="77"/>
      <c r="G126" s="78"/>
    </row>
    <row r="127" spans="1:11" ht="12.75" x14ac:dyDescent="0.15">
      <c r="A127" s="95"/>
      <c r="B127" s="88"/>
      <c r="C127" s="89"/>
      <c r="D127" s="98"/>
      <c r="E127" s="91"/>
      <c r="F127" s="77"/>
      <c r="G127" s="78"/>
    </row>
    <row r="128" spans="1:11" ht="12.75" x14ac:dyDescent="0.15">
      <c r="A128" s="95"/>
      <c r="B128" s="88"/>
      <c r="C128" s="89"/>
      <c r="D128" s="98"/>
      <c r="E128" s="91"/>
      <c r="F128" s="77"/>
      <c r="G128" s="78"/>
    </row>
    <row r="129" spans="1:8" ht="12.75" x14ac:dyDescent="0.15">
      <c r="A129" s="95"/>
      <c r="B129" s="88"/>
      <c r="C129" s="89"/>
      <c r="D129" s="98"/>
      <c r="E129" s="91"/>
      <c r="F129" s="77"/>
      <c r="G129" s="78"/>
    </row>
    <row r="130" spans="1:8" ht="12.75" x14ac:dyDescent="0.15">
      <c r="A130" s="95"/>
      <c r="B130" s="88"/>
      <c r="C130" s="89"/>
      <c r="D130" s="98"/>
      <c r="E130" s="91"/>
      <c r="F130" s="77"/>
      <c r="G130" s="78"/>
    </row>
    <row r="131" spans="1:8" ht="12.75" x14ac:dyDescent="0.15">
      <c r="A131" s="95"/>
      <c r="B131" s="88"/>
      <c r="C131" s="89"/>
      <c r="D131" s="98"/>
      <c r="E131" s="91"/>
      <c r="F131" s="77"/>
      <c r="G131" s="78"/>
    </row>
    <row r="132" spans="1:8" ht="12.75" x14ac:dyDescent="0.15">
      <c r="A132" s="95"/>
      <c r="B132" s="88"/>
      <c r="C132" s="89"/>
      <c r="D132" s="98"/>
      <c r="E132" s="91"/>
      <c r="F132" s="77"/>
      <c r="G132" s="78"/>
    </row>
    <row r="133" spans="1:8" ht="15" customHeight="1" x14ac:dyDescent="0.15">
      <c r="A133" s="95"/>
      <c r="B133" s="73"/>
      <c r="C133" s="107"/>
      <c r="D133" s="108"/>
      <c r="E133" s="98"/>
      <c r="F133" s="77"/>
      <c r="G133" s="78"/>
    </row>
    <row r="134" spans="1:8" ht="15" customHeight="1" thickBot="1" x14ac:dyDescent="0.2">
      <c r="A134" s="95"/>
      <c r="B134" s="73"/>
      <c r="C134" s="107"/>
      <c r="D134" s="108"/>
      <c r="E134" s="98"/>
      <c r="F134" s="77"/>
      <c r="G134" s="78"/>
    </row>
    <row r="135" spans="1:8" ht="15" customHeight="1" thickBot="1" x14ac:dyDescent="0.2">
      <c r="A135" s="43" t="s">
        <v>202</v>
      </c>
      <c r="B135" s="44"/>
      <c r="C135" s="45"/>
      <c r="D135" s="46"/>
      <c r="E135" s="46"/>
      <c r="F135" s="47"/>
      <c r="G135" s="48">
        <f>SUM(G11:G134)</f>
        <v>323601</v>
      </c>
    </row>
  </sheetData>
  <sheetProtection selectLockedCells="1"/>
  <mergeCells count="1">
    <mergeCell ref="C1:D1"/>
  </mergeCells>
  <printOptions horizontalCentered="1"/>
  <pageMargins left="0.511811023622047" right="0.511811023622047" top="0.74803149606299202" bottom="0.74803149606299202" header="0.31496062992126" footer="0.31496062992126"/>
  <pageSetup paperSize="9" scale="68" orientation="portrait" r:id="rId1"/>
  <headerFooter>
    <oddFooter>&amp;RPage &amp;P of &amp;N</oddFooter>
  </headerFooter>
  <rowBreaks count="3" manualBreakCount="3">
    <brk id="40" max="6" man="1"/>
    <brk id="68" max="6" man="1"/>
    <brk id="97"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DB3A-DBF9-4371-8BE6-954207DAE8F6}">
  <sheetPr>
    <pageSetUpPr fitToPage="1"/>
  </sheetPr>
  <dimension ref="A1:M250"/>
  <sheetViews>
    <sheetView showGridLines="0" view="pageBreakPreview" zoomScaleSheetLayoutView="100" workbookViewId="0">
      <pane ySplit="6" topLeftCell="A235" activePane="bottomLeft" state="frozen"/>
      <selection activeCell="E23" sqref="E23"/>
      <selection pane="bottomLeft" activeCell="E31" sqref="E31"/>
    </sheetView>
  </sheetViews>
  <sheetFormatPr defaultColWidth="9.16796875" defaultRowHeight="15" customHeight="1" x14ac:dyDescent="0.15"/>
  <cols>
    <col min="1" max="1" width="5.66015625" style="83" customWidth="1"/>
    <col min="2" max="2" width="5.66015625" style="109" customWidth="1"/>
    <col min="3" max="3" width="62.16796875" style="113" customWidth="1"/>
    <col min="4" max="4" width="7.55078125" style="110" customWidth="1"/>
    <col min="5" max="5" width="8.62890625" style="109" customWidth="1"/>
    <col min="6" max="6" width="10.515625" style="111" customWidth="1"/>
    <col min="7" max="7" width="11.73046875" style="111" customWidth="1"/>
    <col min="8" max="16384" width="9.16796875" style="83"/>
  </cols>
  <sheetData>
    <row r="1" spans="1:8" customFormat="1" ht="12.75" x14ac:dyDescent="0.15">
      <c r="A1" s="1" t="s">
        <v>0</v>
      </c>
      <c r="B1" s="1"/>
      <c r="C1" s="250" t="s">
        <v>1</v>
      </c>
      <c r="D1" s="250"/>
      <c r="E1" s="2"/>
      <c r="F1" s="3"/>
      <c r="G1" s="3"/>
    </row>
    <row r="2" spans="1:8" customFormat="1" ht="12.75" x14ac:dyDescent="0.15">
      <c r="A2" s="1" t="s">
        <v>2</v>
      </c>
      <c r="B2" s="1"/>
      <c r="C2" s="80" t="s">
        <v>3</v>
      </c>
      <c r="D2" s="8"/>
      <c r="E2" s="5"/>
      <c r="F2" s="3"/>
      <c r="G2" s="3"/>
    </row>
    <row r="3" spans="1:8" ht="15" customHeight="1" x14ac:dyDescent="0.15">
      <c r="A3" s="6" t="s">
        <v>4</v>
      </c>
      <c r="B3" s="6"/>
      <c r="C3" s="6"/>
      <c r="D3" s="82"/>
      <c r="E3" s="8"/>
      <c r="F3" s="9"/>
      <c r="G3" s="9"/>
    </row>
    <row r="4" spans="1:8" ht="15" customHeight="1" x14ac:dyDescent="0.15">
      <c r="A4" s="6" t="s">
        <v>5</v>
      </c>
      <c r="B4" s="6"/>
      <c r="C4" s="6" t="s">
        <v>203</v>
      </c>
      <c r="D4" s="84"/>
      <c r="E4" s="7"/>
      <c r="F4" s="9"/>
      <c r="G4" s="9"/>
    </row>
    <row r="5" spans="1:8" ht="15" customHeight="1" thickBot="1" x14ac:dyDescent="0.2">
      <c r="A5" s="7"/>
      <c r="B5" s="7"/>
      <c r="C5" s="6"/>
      <c r="D5" s="84"/>
      <c r="E5" s="7"/>
      <c r="F5" s="9"/>
      <c r="G5" s="9"/>
    </row>
    <row r="6" spans="1:8" ht="15" customHeight="1" thickBot="1" x14ac:dyDescent="0.2">
      <c r="A6" s="235" t="s">
        <v>7</v>
      </c>
      <c r="B6" s="251"/>
      <c r="C6" s="12" t="s">
        <v>8</v>
      </c>
      <c r="D6" s="12" t="s">
        <v>9</v>
      </c>
      <c r="E6" s="13" t="s">
        <v>10</v>
      </c>
      <c r="F6" s="13" t="s">
        <v>11</v>
      </c>
      <c r="G6" s="14" t="s">
        <v>12</v>
      </c>
    </row>
    <row r="7" spans="1:8" ht="15" customHeight="1" x14ac:dyDescent="0.15">
      <c r="A7" s="112">
        <v>8</v>
      </c>
      <c r="B7" s="73"/>
      <c r="D7" s="75"/>
      <c r="E7" s="76"/>
      <c r="F7" s="77"/>
      <c r="G7" s="78"/>
    </row>
    <row r="8" spans="1:8" ht="12.75" x14ac:dyDescent="0.15">
      <c r="A8" s="87"/>
      <c r="B8" s="114"/>
      <c r="C8" s="115" t="s">
        <v>204</v>
      </c>
      <c r="D8" s="94"/>
      <c r="E8" s="116"/>
      <c r="F8" s="77"/>
      <c r="G8" s="78"/>
    </row>
    <row r="9" spans="1:8" ht="12.75" x14ac:dyDescent="0.15">
      <c r="A9" s="95"/>
      <c r="B9" s="114"/>
      <c r="C9" s="117"/>
      <c r="D9" s="94"/>
      <c r="E9" s="116"/>
      <c r="F9" s="77"/>
      <c r="G9" s="78"/>
    </row>
    <row r="10" spans="1:8" ht="12.75" x14ac:dyDescent="0.15">
      <c r="A10" s="87"/>
      <c r="B10" s="114"/>
      <c r="C10" s="117" t="s">
        <v>205</v>
      </c>
      <c r="D10" s="94"/>
      <c r="E10" s="116"/>
      <c r="F10" s="77"/>
      <c r="G10" s="78"/>
    </row>
    <row r="11" spans="1:8" ht="12.75" x14ac:dyDescent="0.15">
      <c r="A11" s="95"/>
      <c r="B11" s="114"/>
      <c r="C11" s="117" t="s">
        <v>206</v>
      </c>
      <c r="D11" s="94"/>
      <c r="E11" s="116"/>
      <c r="F11" s="77"/>
      <c r="G11" s="78"/>
    </row>
    <row r="12" spans="1:8" ht="15" customHeight="1" x14ac:dyDescent="0.15">
      <c r="A12" s="95"/>
      <c r="B12" s="114"/>
      <c r="C12" s="117" t="s">
        <v>207</v>
      </c>
      <c r="D12" s="94"/>
      <c r="E12" s="116"/>
      <c r="F12" s="77"/>
      <c r="G12" s="78"/>
    </row>
    <row r="13" spans="1:8" ht="12.75" x14ac:dyDescent="0.15">
      <c r="A13" s="87"/>
      <c r="B13" s="114"/>
      <c r="C13" s="117" t="s">
        <v>208</v>
      </c>
      <c r="D13" s="94"/>
      <c r="E13" s="116"/>
      <c r="F13" s="77"/>
      <c r="G13" s="78"/>
    </row>
    <row r="14" spans="1:8" ht="12.75" x14ac:dyDescent="0.15">
      <c r="A14" s="95"/>
      <c r="B14" s="114"/>
      <c r="C14" s="117" t="s">
        <v>209</v>
      </c>
      <c r="D14" s="94"/>
      <c r="E14" s="116"/>
      <c r="F14" s="77"/>
      <c r="G14" s="78"/>
    </row>
    <row r="15" spans="1:8" ht="15" customHeight="1" x14ac:dyDescent="0.15">
      <c r="A15" s="95"/>
      <c r="B15" s="114"/>
      <c r="C15" s="117" t="s">
        <v>210</v>
      </c>
      <c r="D15" s="94" t="s">
        <v>211</v>
      </c>
      <c r="E15" s="116"/>
      <c r="F15" s="77"/>
      <c r="G15" s="78"/>
    </row>
    <row r="16" spans="1:8" ht="12.75" x14ac:dyDescent="0.15">
      <c r="A16" s="95"/>
      <c r="B16" s="114"/>
      <c r="C16" s="117"/>
      <c r="D16" s="94"/>
      <c r="E16" s="116"/>
      <c r="F16" s="77"/>
      <c r="G16" s="78"/>
    </row>
    <row r="17" spans="1:8" ht="12.75" x14ac:dyDescent="0.15">
      <c r="A17" s="95"/>
      <c r="B17" s="114"/>
      <c r="C17" s="117" t="s">
        <v>212</v>
      </c>
      <c r="D17" s="94"/>
      <c r="E17" s="116"/>
      <c r="F17" s="77"/>
      <c r="G17" s="78"/>
    </row>
    <row r="18" spans="1:8" ht="15" customHeight="1" x14ac:dyDescent="0.15">
      <c r="A18" s="95"/>
      <c r="B18" s="114"/>
      <c r="C18" s="117" t="s">
        <v>213</v>
      </c>
      <c r="D18" s="94" t="s">
        <v>211</v>
      </c>
      <c r="E18" s="116"/>
      <c r="F18" s="77"/>
      <c r="G18" s="78"/>
    </row>
    <row r="19" spans="1:8" ht="15" customHeight="1" x14ac:dyDescent="0.15">
      <c r="A19" s="95"/>
      <c r="B19" s="114"/>
      <c r="C19" s="117"/>
      <c r="D19" s="94"/>
      <c r="E19" s="116"/>
      <c r="F19" s="77"/>
      <c r="G19" s="78"/>
    </row>
    <row r="20" spans="1:8" ht="24.75" customHeight="1" x14ac:dyDescent="0.15">
      <c r="A20" s="95"/>
      <c r="B20" s="114"/>
      <c r="C20" s="93"/>
      <c r="D20" s="94"/>
      <c r="E20" s="116"/>
      <c r="F20" s="77"/>
      <c r="G20" s="78"/>
    </row>
    <row r="21" spans="1:8" ht="15" customHeight="1" x14ac:dyDescent="0.15">
      <c r="A21" s="87"/>
      <c r="B21" s="114"/>
      <c r="C21" s="117"/>
      <c r="D21" s="94"/>
      <c r="E21" s="116"/>
      <c r="F21" s="77"/>
      <c r="G21" s="78"/>
    </row>
    <row r="22" spans="1:8" ht="15" customHeight="1" x14ac:dyDescent="0.15">
      <c r="A22" s="87"/>
      <c r="B22" s="114"/>
      <c r="C22" s="115" t="s">
        <v>214</v>
      </c>
      <c r="D22" s="94"/>
      <c r="E22" s="116"/>
      <c r="F22" s="77"/>
      <c r="G22" s="78"/>
    </row>
    <row r="23" spans="1:8" ht="12.75" x14ac:dyDescent="0.15">
      <c r="A23" s="87"/>
      <c r="B23" s="114"/>
      <c r="C23" s="115"/>
      <c r="D23" s="94"/>
      <c r="E23" s="116"/>
      <c r="F23" s="77"/>
      <c r="G23" s="78"/>
    </row>
    <row r="24" spans="1:8" ht="13.5" x14ac:dyDescent="0.15">
      <c r="A24" s="87"/>
      <c r="B24" s="118" t="s">
        <v>113</v>
      </c>
      <c r="C24" s="119" t="s">
        <v>215</v>
      </c>
      <c r="D24" s="120"/>
      <c r="E24" s="116"/>
      <c r="F24" s="77"/>
      <c r="G24" s="78"/>
    </row>
    <row r="25" spans="1:8" ht="15" customHeight="1" x14ac:dyDescent="0.15">
      <c r="A25" s="95"/>
      <c r="B25" s="121"/>
      <c r="C25" s="122"/>
      <c r="D25" s="120"/>
      <c r="E25" s="116"/>
      <c r="F25" s="77"/>
      <c r="G25" s="78"/>
    </row>
    <row r="26" spans="1:8" ht="15" customHeight="1" x14ac:dyDescent="0.15">
      <c r="A26" s="95"/>
      <c r="B26" s="114">
        <v>1</v>
      </c>
      <c r="C26" s="115" t="s">
        <v>216</v>
      </c>
      <c r="D26" s="120"/>
      <c r="E26" s="116"/>
      <c r="F26" s="77"/>
      <c r="G26" s="78"/>
    </row>
    <row r="27" spans="1:8" ht="15" customHeight="1" x14ac:dyDescent="0.15">
      <c r="A27" s="95"/>
      <c r="B27" s="121"/>
      <c r="C27" s="115" t="s">
        <v>217</v>
      </c>
      <c r="D27" s="120"/>
      <c r="E27" s="116"/>
      <c r="F27" s="77"/>
      <c r="G27" s="78"/>
    </row>
    <row r="28" spans="1:8" ht="15" customHeight="1" x14ac:dyDescent="0.15">
      <c r="A28" s="95"/>
      <c r="B28" s="121"/>
      <c r="C28" s="115" t="s">
        <v>218</v>
      </c>
      <c r="D28" s="120"/>
      <c r="E28" s="116"/>
      <c r="F28" s="77"/>
      <c r="G28" s="78"/>
    </row>
    <row r="29" spans="1:8" ht="15" customHeight="1" x14ac:dyDescent="0.15">
      <c r="A29" s="95"/>
      <c r="B29" s="121"/>
      <c r="C29" s="115" t="s">
        <v>219</v>
      </c>
      <c r="D29" s="120"/>
      <c r="E29" s="116"/>
      <c r="F29" s="77"/>
      <c r="G29" s="78"/>
    </row>
    <row r="30" spans="1:8" ht="15" customHeight="1" x14ac:dyDescent="0.15">
      <c r="A30" s="95"/>
      <c r="B30" s="121"/>
      <c r="C30" s="115" t="s">
        <v>220</v>
      </c>
      <c r="D30" s="120"/>
      <c r="E30" s="116"/>
      <c r="F30" s="77"/>
      <c r="G30" s="78"/>
    </row>
    <row r="31" spans="1:8" ht="15" customHeight="1" x14ac:dyDescent="0.15">
      <c r="A31" s="95"/>
      <c r="B31" s="121"/>
      <c r="C31" s="115" t="s">
        <v>221</v>
      </c>
      <c r="D31" s="120"/>
      <c r="E31" s="116"/>
      <c r="F31" s="77"/>
      <c r="G31" s="78"/>
    </row>
    <row r="32" spans="1:8" ht="15" customHeight="1" x14ac:dyDescent="0.15">
      <c r="A32" s="95"/>
      <c r="B32" s="121"/>
      <c r="C32" s="122"/>
      <c r="D32" s="120"/>
      <c r="E32" s="116"/>
      <c r="F32" s="77"/>
      <c r="G32" s="78"/>
    </row>
    <row r="33" spans="1:12" ht="18" customHeight="1" x14ac:dyDescent="0.15">
      <c r="A33" s="95"/>
      <c r="B33" s="121" t="s">
        <v>222</v>
      </c>
      <c r="C33" s="222" t="s">
        <v>223</v>
      </c>
      <c r="D33" s="223" t="s">
        <v>145</v>
      </c>
      <c r="E33" s="224">
        <v>0</v>
      </c>
      <c r="F33" s="225">
        <v>1384</v>
      </c>
      <c r="G33" s="225">
        <f>F33*E33</f>
        <v>0</v>
      </c>
    </row>
    <row r="34" spans="1:12" ht="18" customHeight="1" x14ac:dyDescent="0.15">
      <c r="A34" s="95"/>
      <c r="B34" s="121" t="s">
        <v>224</v>
      </c>
      <c r="C34" s="222" t="s">
        <v>225</v>
      </c>
      <c r="D34" s="223" t="s">
        <v>145</v>
      </c>
      <c r="E34" s="224">
        <v>11</v>
      </c>
      <c r="F34" s="225">
        <v>251</v>
      </c>
      <c r="G34" s="225">
        <f>F34*E34</f>
        <v>2761</v>
      </c>
    </row>
    <row r="35" spans="1:12" ht="18" customHeight="1" x14ac:dyDescent="0.15">
      <c r="A35" s="95"/>
      <c r="B35" s="121" t="s">
        <v>226</v>
      </c>
      <c r="C35" s="222" t="s">
        <v>227</v>
      </c>
      <c r="D35" s="223" t="s">
        <v>145</v>
      </c>
      <c r="E35" s="224">
        <v>45</v>
      </c>
      <c r="F35" s="225">
        <v>466</v>
      </c>
      <c r="G35" s="225">
        <f>F35*E35</f>
        <v>20970</v>
      </c>
    </row>
    <row r="36" spans="1:12" ht="18" customHeight="1" x14ac:dyDescent="0.15">
      <c r="A36" s="95"/>
      <c r="B36" s="121" t="s">
        <v>228</v>
      </c>
      <c r="C36" s="222" t="s">
        <v>229</v>
      </c>
      <c r="D36" s="223" t="s">
        <v>145</v>
      </c>
      <c r="E36" s="224">
        <v>1188</v>
      </c>
      <c r="F36" s="225">
        <v>141</v>
      </c>
      <c r="G36" s="225">
        <f>F36*E36</f>
        <v>167508</v>
      </c>
    </row>
    <row r="37" spans="1:12" ht="18" customHeight="1" x14ac:dyDescent="0.15">
      <c r="A37" s="95"/>
      <c r="B37" s="121" t="s">
        <v>230</v>
      </c>
      <c r="C37" s="222" t="s">
        <v>231</v>
      </c>
      <c r="D37" s="223" t="s">
        <v>145</v>
      </c>
      <c r="E37" s="224">
        <v>9</v>
      </c>
      <c r="F37" s="225">
        <v>104</v>
      </c>
      <c r="G37" s="225">
        <f>F37*E37</f>
        <v>936</v>
      </c>
    </row>
    <row r="38" spans="1:12" ht="18" customHeight="1" x14ac:dyDescent="0.15">
      <c r="A38" s="87"/>
      <c r="B38" s="121" t="s">
        <v>232</v>
      </c>
      <c r="C38" s="222" t="s">
        <v>233</v>
      </c>
      <c r="D38" s="223" t="s">
        <v>145</v>
      </c>
      <c r="E38" s="224">
        <v>64</v>
      </c>
      <c r="F38" s="225">
        <v>84</v>
      </c>
      <c r="G38" s="225">
        <f>F38*E38</f>
        <v>5376</v>
      </c>
    </row>
    <row r="39" spans="1:12" ht="18" customHeight="1" x14ac:dyDescent="0.15">
      <c r="A39" s="87"/>
      <c r="B39" s="121" t="s">
        <v>234</v>
      </c>
      <c r="C39" s="222" t="s">
        <v>235</v>
      </c>
      <c r="D39" s="223" t="s">
        <v>145</v>
      </c>
      <c r="E39" s="224">
        <v>12</v>
      </c>
      <c r="F39" s="225">
        <v>50</v>
      </c>
      <c r="G39" s="225">
        <f>F39*E39</f>
        <v>600</v>
      </c>
    </row>
    <row r="40" spans="1:12" ht="18" customHeight="1" x14ac:dyDescent="0.15">
      <c r="A40" s="87"/>
      <c r="B40" s="121"/>
      <c r="C40" s="222"/>
      <c r="D40" s="223"/>
      <c r="E40" s="226"/>
      <c r="F40" s="227"/>
      <c r="G40" s="228"/>
    </row>
    <row r="41" spans="1:12" ht="15" customHeight="1" x14ac:dyDescent="0.15">
      <c r="A41" s="95"/>
      <c r="B41" s="121"/>
      <c r="C41" s="122"/>
      <c r="D41" s="120"/>
      <c r="E41" s="123"/>
      <c r="F41" s="77"/>
      <c r="G41" s="78"/>
    </row>
    <row r="42" spans="1:12" ht="12.75" x14ac:dyDescent="0.15">
      <c r="A42" s="95"/>
      <c r="B42" s="121"/>
      <c r="C42" s="122"/>
      <c r="D42" s="120"/>
      <c r="E42" s="124"/>
      <c r="F42" s="77"/>
      <c r="G42" s="78"/>
    </row>
    <row r="43" spans="1:12" ht="35.25" x14ac:dyDescent="0.15">
      <c r="A43" s="95"/>
      <c r="B43" s="125">
        <v>2</v>
      </c>
      <c r="C43" s="126" t="s">
        <v>236</v>
      </c>
      <c r="D43" s="120"/>
      <c r="E43" s="124"/>
      <c r="F43" s="77"/>
      <c r="G43" s="78"/>
    </row>
    <row r="44" spans="1:12" ht="12.75" x14ac:dyDescent="0.15">
      <c r="A44" s="95"/>
      <c r="B44" s="121"/>
      <c r="C44" s="115"/>
      <c r="D44" s="120"/>
      <c r="E44" s="124"/>
      <c r="F44" s="77"/>
      <c r="G44" s="78"/>
    </row>
    <row r="45" spans="1:12" ht="14.25" customHeight="1" x14ac:dyDescent="0.15">
      <c r="A45" s="95"/>
      <c r="B45" s="125"/>
      <c r="C45" s="122"/>
      <c r="D45" s="120"/>
      <c r="E45" s="124"/>
      <c r="F45" s="77"/>
      <c r="G45" s="78"/>
    </row>
    <row r="46" spans="1:12" ht="13.5" x14ac:dyDescent="0.15">
      <c r="A46" s="95"/>
      <c r="B46" s="121" t="s">
        <v>237</v>
      </c>
      <c r="C46" s="122" t="s">
        <v>238</v>
      </c>
      <c r="D46" s="120" t="s">
        <v>123</v>
      </c>
      <c r="E46" s="123">
        <v>0</v>
      </c>
      <c r="F46" s="35">
        <v>0</v>
      </c>
      <c r="G46" s="35">
        <f>F46*E46</f>
        <v>0</v>
      </c>
    </row>
    <row r="47" spans="1:12" ht="15" customHeight="1" x14ac:dyDescent="0.15">
      <c r="A47" s="95"/>
      <c r="B47" s="121" t="s">
        <v>239</v>
      </c>
      <c r="C47" s="122" t="s">
        <v>240</v>
      </c>
      <c r="D47" s="120" t="s">
        <v>123</v>
      </c>
      <c r="E47" s="123">
        <v>0</v>
      </c>
      <c r="F47" s="35">
        <v>0</v>
      </c>
      <c r="G47" s="35">
        <f>F47*E47</f>
        <v>0</v>
      </c>
    </row>
    <row r="48" spans="1:12" ht="17.100000000000001" customHeight="1" x14ac:dyDescent="0.15">
      <c r="A48" s="95"/>
      <c r="B48" s="121" t="s">
        <v>241</v>
      </c>
      <c r="C48" s="122" t="s">
        <v>242</v>
      </c>
      <c r="D48" s="120" t="s">
        <v>123</v>
      </c>
      <c r="E48" s="123">
        <v>1</v>
      </c>
      <c r="F48" s="35">
        <v>9913</v>
      </c>
      <c r="G48" s="35">
        <f>F48*E48</f>
        <v>9913</v>
      </c>
    </row>
    <row r="49" spans="1:8" ht="17.100000000000001" customHeight="1" x14ac:dyDescent="0.15">
      <c r="A49" s="95"/>
      <c r="B49" s="121" t="s">
        <v>243</v>
      </c>
      <c r="C49" s="122" t="s">
        <v>244</v>
      </c>
      <c r="D49" s="120" t="s">
        <v>123</v>
      </c>
      <c r="E49" s="123">
        <v>0</v>
      </c>
      <c r="F49" s="35">
        <v>0</v>
      </c>
      <c r="G49" s="35">
        <f>F49*E49</f>
        <v>0</v>
      </c>
    </row>
    <row r="50" spans="1:8" ht="17.100000000000001" customHeight="1" x14ac:dyDescent="0.15">
      <c r="A50" s="95">
        <v>35</v>
      </c>
      <c r="B50" s="121" t="s">
        <v>245</v>
      </c>
      <c r="C50" s="122" t="s">
        <v>246</v>
      </c>
      <c r="D50" s="120" t="s">
        <v>123</v>
      </c>
      <c r="E50" s="123">
        <v>1</v>
      </c>
      <c r="F50" s="35">
        <v>3417</v>
      </c>
      <c r="G50" s="35">
        <f>F50*E50</f>
        <v>3417</v>
      </c>
    </row>
    <row r="51" spans="1:8" ht="17.100000000000001" customHeight="1" x14ac:dyDescent="0.15">
      <c r="A51" s="95"/>
      <c r="B51" s="121" t="s">
        <v>247</v>
      </c>
      <c r="C51" s="122" t="s">
        <v>248</v>
      </c>
      <c r="D51" s="120" t="s">
        <v>123</v>
      </c>
      <c r="E51" s="123">
        <v>1</v>
      </c>
      <c r="F51" s="35">
        <v>3417</v>
      </c>
      <c r="G51" s="35">
        <f>F51*E51</f>
        <v>3417</v>
      </c>
    </row>
    <row r="52" spans="1:8" ht="17.100000000000001" customHeight="1" x14ac:dyDescent="0.15">
      <c r="A52" s="95"/>
      <c r="B52" s="121" t="s">
        <v>249</v>
      </c>
      <c r="C52" s="122" t="s">
        <v>250</v>
      </c>
      <c r="D52" s="120" t="s">
        <v>123</v>
      </c>
      <c r="E52" s="123">
        <v>1</v>
      </c>
      <c r="F52" s="35">
        <v>3417</v>
      </c>
      <c r="G52" s="35">
        <f>F52*E52</f>
        <v>3417</v>
      </c>
    </row>
    <row r="53" spans="1:8" ht="17.100000000000001" customHeight="1" x14ac:dyDescent="0.15">
      <c r="A53" s="95"/>
      <c r="B53" s="121" t="s">
        <v>251</v>
      </c>
      <c r="C53" s="122" t="s">
        <v>252</v>
      </c>
      <c r="D53" s="120" t="s">
        <v>123</v>
      </c>
      <c r="E53" s="123">
        <v>0</v>
      </c>
      <c r="F53" s="35">
        <v>0</v>
      </c>
      <c r="G53" s="35">
        <f>F53*E53</f>
        <v>0</v>
      </c>
    </row>
    <row r="54" spans="1:8" ht="17.100000000000001" customHeight="1" x14ac:dyDescent="0.15">
      <c r="A54" s="95"/>
      <c r="B54" s="121" t="s">
        <v>253</v>
      </c>
      <c r="C54" s="122" t="s">
        <v>254</v>
      </c>
      <c r="D54" s="120" t="s">
        <v>123</v>
      </c>
      <c r="E54" s="123">
        <v>0</v>
      </c>
      <c r="F54" s="35">
        <v>0</v>
      </c>
      <c r="G54" s="35">
        <f>F54*E54</f>
        <v>0</v>
      </c>
    </row>
    <row r="55" spans="1:8" ht="17.100000000000001" customHeight="1" x14ac:dyDescent="0.15">
      <c r="A55" s="95"/>
      <c r="B55" s="121" t="s">
        <v>255</v>
      </c>
      <c r="C55" s="122" t="s">
        <v>256</v>
      </c>
      <c r="D55" s="120" t="s">
        <v>123</v>
      </c>
      <c r="E55" s="123">
        <v>0</v>
      </c>
      <c r="F55" s="35">
        <v>0</v>
      </c>
      <c r="G55" s="35">
        <f>F55*E55</f>
        <v>0</v>
      </c>
    </row>
    <row r="56" spans="1:8" ht="17.100000000000001" customHeight="1" x14ac:dyDescent="0.15">
      <c r="A56" s="95"/>
      <c r="B56" s="121" t="s">
        <v>257</v>
      </c>
      <c r="C56" s="122" t="s">
        <v>258</v>
      </c>
      <c r="D56" s="120" t="s">
        <v>123</v>
      </c>
      <c r="E56" s="123">
        <v>0</v>
      </c>
      <c r="F56" s="35">
        <v>0</v>
      </c>
      <c r="G56" s="35">
        <f>F56*E56</f>
        <v>0</v>
      </c>
    </row>
    <row r="57" spans="1:8" ht="17.100000000000001" customHeight="1" x14ac:dyDescent="0.15">
      <c r="A57" s="95"/>
      <c r="B57" s="121" t="s">
        <v>259</v>
      </c>
      <c r="C57" s="122" t="s">
        <v>260</v>
      </c>
      <c r="D57" s="120" t="s">
        <v>123</v>
      </c>
      <c r="E57" s="123">
        <v>0</v>
      </c>
      <c r="F57" s="35">
        <v>0</v>
      </c>
      <c r="G57" s="35">
        <f>F57*E57</f>
        <v>0</v>
      </c>
    </row>
    <row r="58" spans="1:8" ht="17.100000000000001" customHeight="1" x14ac:dyDescent="0.15">
      <c r="A58" s="95"/>
      <c r="B58" s="121" t="s">
        <v>261</v>
      </c>
      <c r="C58" s="122" t="s">
        <v>262</v>
      </c>
      <c r="D58" s="120" t="s">
        <v>123</v>
      </c>
      <c r="E58" s="123">
        <v>0</v>
      </c>
      <c r="F58" s="35">
        <v>0</v>
      </c>
      <c r="G58" s="35">
        <f>F58*E58</f>
        <v>0</v>
      </c>
    </row>
    <row r="59" spans="1:8" ht="17.100000000000001" customHeight="1" x14ac:dyDescent="0.15">
      <c r="A59" s="95"/>
      <c r="B59" s="121" t="s">
        <v>263</v>
      </c>
      <c r="C59" s="122" t="s">
        <v>264</v>
      </c>
      <c r="D59" s="120" t="s">
        <v>123</v>
      </c>
      <c r="E59" s="123">
        <v>0</v>
      </c>
      <c r="F59" s="35">
        <v>0</v>
      </c>
      <c r="G59" s="35">
        <f>F59*E59</f>
        <v>0</v>
      </c>
    </row>
    <row r="60" spans="1:8" ht="17.100000000000001" customHeight="1" x14ac:dyDescent="0.15">
      <c r="A60" s="95"/>
      <c r="B60" s="121" t="s">
        <v>265</v>
      </c>
      <c r="C60" s="122" t="s">
        <v>266</v>
      </c>
      <c r="D60" s="120" t="s">
        <v>123</v>
      </c>
      <c r="E60" s="123">
        <v>0</v>
      </c>
      <c r="F60" s="35">
        <v>0</v>
      </c>
      <c r="G60" s="35">
        <f>F60*E60</f>
        <v>0</v>
      </c>
    </row>
    <row r="61" spans="1:8" ht="17.100000000000001" customHeight="1" x14ac:dyDescent="0.15">
      <c r="A61" s="95"/>
      <c r="B61" s="121" t="s">
        <v>267</v>
      </c>
      <c r="C61" s="122" t="s">
        <v>268</v>
      </c>
      <c r="D61" s="120" t="s">
        <v>123</v>
      </c>
      <c r="E61" s="123">
        <v>0</v>
      </c>
      <c r="F61" s="35">
        <v>0</v>
      </c>
      <c r="G61" s="35">
        <f>F61*E61</f>
        <v>0</v>
      </c>
    </row>
    <row r="62" spans="1:8" ht="17.100000000000001" customHeight="1" x14ac:dyDescent="0.15">
      <c r="A62" s="95"/>
      <c r="B62" s="121" t="s">
        <v>269</v>
      </c>
      <c r="C62" s="122" t="s">
        <v>270</v>
      </c>
      <c r="D62" s="120" t="s">
        <v>123</v>
      </c>
      <c r="E62" s="123">
        <v>0</v>
      </c>
      <c r="F62" s="35">
        <v>0</v>
      </c>
      <c r="G62" s="35">
        <f>F62*E62</f>
        <v>0</v>
      </c>
    </row>
    <row r="63" spans="1:8" ht="17.100000000000001" customHeight="1" x14ac:dyDescent="0.15">
      <c r="A63" s="95"/>
      <c r="B63" s="121" t="s">
        <v>271</v>
      </c>
      <c r="C63" s="122" t="s">
        <v>272</v>
      </c>
      <c r="D63" s="120" t="s">
        <v>123</v>
      </c>
      <c r="E63" s="123">
        <v>0</v>
      </c>
      <c r="F63" s="35">
        <v>0</v>
      </c>
      <c r="G63" s="35">
        <f>F63*E63</f>
        <v>0</v>
      </c>
    </row>
    <row r="64" spans="1:8" ht="15" customHeight="1" x14ac:dyDescent="0.15">
      <c r="A64" s="95"/>
      <c r="B64" s="121" t="s">
        <v>273</v>
      </c>
      <c r="C64" s="122" t="s">
        <v>274</v>
      </c>
      <c r="D64" s="120" t="s">
        <v>123</v>
      </c>
      <c r="E64" s="123">
        <v>0</v>
      </c>
      <c r="F64" s="35">
        <v>0</v>
      </c>
      <c r="G64" s="35">
        <f>F64*E64</f>
        <v>0</v>
      </c>
    </row>
    <row r="65" spans="1:8" ht="15" customHeight="1" x14ac:dyDescent="0.15">
      <c r="A65" s="95"/>
      <c r="B65" s="121" t="s">
        <v>275</v>
      </c>
      <c r="C65" s="122" t="s">
        <v>276</v>
      </c>
      <c r="D65" s="120" t="s">
        <v>123</v>
      </c>
      <c r="E65" s="123">
        <v>0</v>
      </c>
      <c r="F65" s="35">
        <v>0</v>
      </c>
      <c r="G65" s="35">
        <f>F65*E65</f>
        <v>0</v>
      </c>
    </row>
    <row r="66" spans="1:8" ht="15" customHeight="1" x14ac:dyDescent="0.15">
      <c r="A66" s="95"/>
      <c r="B66" s="121" t="s">
        <v>277</v>
      </c>
      <c r="C66" s="122" t="s">
        <v>278</v>
      </c>
      <c r="D66" s="120" t="s">
        <v>123</v>
      </c>
      <c r="E66" s="123">
        <v>0</v>
      </c>
      <c r="F66" s="35">
        <v>0</v>
      </c>
      <c r="G66" s="35">
        <f>F66*E66</f>
        <v>0</v>
      </c>
    </row>
    <row r="67" spans="1:8" ht="15" customHeight="1" x14ac:dyDescent="0.15">
      <c r="A67" s="95"/>
      <c r="B67" s="121" t="s">
        <v>279</v>
      </c>
      <c r="C67" s="122" t="s">
        <v>280</v>
      </c>
      <c r="D67" s="120" t="s">
        <v>123</v>
      </c>
      <c r="E67" s="123">
        <v>1</v>
      </c>
      <c r="F67" s="35">
        <v>4393</v>
      </c>
      <c r="G67" s="35">
        <f>F67*E67</f>
        <v>4393</v>
      </c>
    </row>
    <row r="68" spans="1:8" ht="15" customHeight="1" x14ac:dyDescent="0.15">
      <c r="A68" s="95"/>
      <c r="B68" s="121" t="s">
        <v>281</v>
      </c>
      <c r="C68" s="122" t="s">
        <v>282</v>
      </c>
      <c r="D68" s="120" t="s">
        <v>123</v>
      </c>
      <c r="E68" s="123">
        <v>1</v>
      </c>
      <c r="F68" s="35">
        <v>4393</v>
      </c>
      <c r="G68" s="35">
        <f>F68*E68</f>
        <v>4393</v>
      </c>
    </row>
    <row r="69" spans="1:8" ht="13.5" x14ac:dyDescent="0.15">
      <c r="A69" s="95"/>
      <c r="B69" s="121" t="s">
        <v>283</v>
      </c>
      <c r="C69" s="122" t="s">
        <v>284</v>
      </c>
      <c r="D69" s="120" t="s">
        <v>123</v>
      </c>
      <c r="E69" s="123">
        <v>1</v>
      </c>
      <c r="F69" s="35">
        <v>4393</v>
      </c>
      <c r="G69" s="35">
        <f>F69*E69</f>
        <v>4393</v>
      </c>
    </row>
    <row r="70" spans="1:8" ht="13.5" x14ac:dyDescent="0.15">
      <c r="A70" s="95"/>
      <c r="B70" s="121" t="s">
        <v>285</v>
      </c>
      <c r="C70" s="122" t="s">
        <v>286</v>
      </c>
      <c r="D70" s="120" t="s">
        <v>123</v>
      </c>
      <c r="E70" s="123">
        <v>1</v>
      </c>
      <c r="F70" s="35">
        <v>4393</v>
      </c>
      <c r="G70" s="35">
        <f>F70*E70</f>
        <v>4393</v>
      </c>
    </row>
    <row r="71" spans="1:8" ht="13.5" x14ac:dyDescent="0.15">
      <c r="A71" s="95"/>
      <c r="B71" s="121" t="s">
        <v>287</v>
      </c>
      <c r="C71" s="122" t="s">
        <v>288</v>
      </c>
      <c r="D71" s="120" t="s">
        <v>123</v>
      </c>
      <c r="E71" s="123">
        <v>1</v>
      </c>
      <c r="F71" s="35">
        <v>4393</v>
      </c>
      <c r="G71" s="35">
        <f>F71*E71</f>
        <v>4393</v>
      </c>
    </row>
    <row r="72" spans="1:8" ht="13.5" x14ac:dyDescent="0.15">
      <c r="A72" s="95"/>
      <c r="B72" s="121" t="s">
        <v>289</v>
      </c>
      <c r="C72" s="122" t="s">
        <v>290</v>
      </c>
      <c r="D72" s="120" t="s">
        <v>123</v>
      </c>
      <c r="E72" s="123">
        <v>1</v>
      </c>
      <c r="F72" s="35">
        <v>4393</v>
      </c>
      <c r="G72" s="35">
        <f>F72*E72</f>
        <v>4393</v>
      </c>
    </row>
    <row r="73" spans="1:8" ht="13.5" x14ac:dyDescent="0.15">
      <c r="A73" s="95"/>
      <c r="B73" s="121" t="s">
        <v>291</v>
      </c>
      <c r="C73" s="122" t="s">
        <v>292</v>
      </c>
      <c r="D73" s="120" t="s">
        <v>123</v>
      </c>
      <c r="E73" s="123">
        <v>1</v>
      </c>
      <c r="F73" s="35">
        <v>4393</v>
      </c>
      <c r="G73" s="35">
        <f>F73*E73</f>
        <v>4393</v>
      </c>
    </row>
    <row r="74" spans="1:8" ht="13.5" x14ac:dyDescent="0.15">
      <c r="A74" s="95"/>
      <c r="B74" s="121" t="s">
        <v>293</v>
      </c>
      <c r="C74" s="122" t="s">
        <v>294</v>
      </c>
      <c r="D74" s="120" t="s">
        <v>123</v>
      </c>
      <c r="E74" s="123">
        <v>1</v>
      </c>
      <c r="F74" s="35">
        <v>4393</v>
      </c>
      <c r="G74" s="35">
        <f>F74*E74</f>
        <v>4393</v>
      </c>
    </row>
    <row r="75" spans="1:8" ht="13.5" x14ac:dyDescent="0.15">
      <c r="A75" s="95"/>
      <c r="B75" s="121" t="s">
        <v>295</v>
      </c>
      <c r="C75" s="122" t="s">
        <v>296</v>
      </c>
      <c r="D75" s="120" t="s">
        <v>123</v>
      </c>
      <c r="E75" s="123">
        <v>1</v>
      </c>
      <c r="F75" s="35">
        <v>4393</v>
      </c>
      <c r="G75" s="35">
        <f>F75*E75</f>
        <v>4393</v>
      </c>
    </row>
    <row r="76" spans="1:8" ht="15" customHeight="1" x14ac:dyDescent="0.15">
      <c r="A76" s="95"/>
      <c r="B76" s="121" t="s">
        <v>297</v>
      </c>
      <c r="C76" s="122" t="s">
        <v>298</v>
      </c>
      <c r="D76" s="120" t="s">
        <v>123</v>
      </c>
      <c r="E76" s="123">
        <v>1</v>
      </c>
      <c r="F76" s="35">
        <v>4393</v>
      </c>
      <c r="G76" s="35">
        <f>F76*E76</f>
        <v>4393</v>
      </c>
    </row>
    <row r="77" spans="1:8" ht="13.5" x14ac:dyDescent="0.15">
      <c r="A77" s="95"/>
      <c r="B77" s="121" t="s">
        <v>299</v>
      </c>
      <c r="C77" s="122" t="s">
        <v>300</v>
      </c>
      <c r="D77" s="120" t="s">
        <v>123</v>
      </c>
      <c r="E77" s="123">
        <v>1</v>
      </c>
      <c r="F77" s="35">
        <v>4393</v>
      </c>
      <c r="G77" s="35">
        <f>F77*E77</f>
        <v>4393</v>
      </c>
    </row>
    <row r="78" spans="1:8" ht="13.5" x14ac:dyDescent="0.15">
      <c r="A78" s="95"/>
      <c r="B78" s="121" t="s">
        <v>301</v>
      </c>
      <c r="C78" s="122" t="s">
        <v>302</v>
      </c>
      <c r="D78" s="120" t="s">
        <v>123</v>
      </c>
      <c r="E78" s="123">
        <v>1</v>
      </c>
      <c r="F78" s="35">
        <v>4393</v>
      </c>
      <c r="G78" s="35">
        <f>F78*E78</f>
        <v>4393</v>
      </c>
    </row>
    <row r="79" spans="1:8" ht="13.5" x14ac:dyDescent="0.15">
      <c r="A79" s="95"/>
      <c r="B79" s="121" t="s">
        <v>303</v>
      </c>
      <c r="C79" s="122" t="s">
        <v>304</v>
      </c>
      <c r="D79" s="120" t="s">
        <v>123</v>
      </c>
      <c r="E79" s="123">
        <v>1</v>
      </c>
      <c r="F79" s="35">
        <v>4393</v>
      </c>
      <c r="G79" s="35">
        <f>F79*E79</f>
        <v>4393</v>
      </c>
    </row>
    <row r="80" spans="1:8" ht="13.5" x14ac:dyDescent="0.15">
      <c r="A80" s="95"/>
      <c r="B80" s="121" t="s">
        <v>305</v>
      </c>
      <c r="C80" s="122" t="s">
        <v>306</v>
      </c>
      <c r="D80" s="120" t="s">
        <v>123</v>
      </c>
      <c r="E80" s="123">
        <v>1</v>
      </c>
      <c r="F80" s="35">
        <v>4393</v>
      </c>
      <c r="G80" s="35">
        <f>F80*E80</f>
        <v>4393</v>
      </c>
    </row>
    <row r="81" spans="1:8" ht="15" customHeight="1" x14ac:dyDescent="0.15">
      <c r="A81" s="95"/>
      <c r="B81" s="121" t="s">
        <v>307</v>
      </c>
      <c r="C81" s="122" t="s">
        <v>308</v>
      </c>
      <c r="D81" s="120" t="s">
        <v>123</v>
      </c>
      <c r="E81" s="123">
        <v>1</v>
      </c>
      <c r="F81" s="35">
        <v>4393</v>
      </c>
      <c r="G81" s="35">
        <f>F81*E81</f>
        <v>4393</v>
      </c>
    </row>
    <row r="82" spans="1:8" ht="13.5" x14ac:dyDescent="0.15">
      <c r="A82" s="95"/>
      <c r="B82" s="121" t="s">
        <v>309</v>
      </c>
      <c r="C82" s="122" t="s">
        <v>310</v>
      </c>
      <c r="D82" s="120" t="s">
        <v>123</v>
      </c>
      <c r="E82" s="123">
        <v>1</v>
      </c>
      <c r="F82" s="35">
        <v>4393</v>
      </c>
      <c r="G82" s="35">
        <f>F82*E82</f>
        <v>4393</v>
      </c>
    </row>
    <row r="83" spans="1:8" ht="13.5" x14ac:dyDescent="0.15">
      <c r="A83" s="95"/>
      <c r="B83" s="121" t="s">
        <v>311</v>
      </c>
      <c r="C83" s="122" t="s">
        <v>312</v>
      </c>
      <c r="D83" s="120" t="s">
        <v>123</v>
      </c>
      <c r="E83" s="123">
        <v>1</v>
      </c>
      <c r="F83" s="35">
        <v>4393</v>
      </c>
      <c r="G83" s="35">
        <f>F83*E83</f>
        <v>4393</v>
      </c>
    </row>
    <row r="84" spans="1:8" ht="13.5" x14ac:dyDescent="0.15">
      <c r="A84" s="95"/>
      <c r="B84" s="121" t="s">
        <v>313</v>
      </c>
      <c r="C84" s="122" t="s">
        <v>314</v>
      </c>
      <c r="D84" s="120" t="s">
        <v>123</v>
      </c>
      <c r="E84" s="123">
        <v>1</v>
      </c>
      <c r="F84" s="35">
        <v>4393</v>
      </c>
      <c r="G84" s="35">
        <f>F84*E84</f>
        <v>4393</v>
      </c>
    </row>
    <row r="85" spans="1:8" ht="13.5" x14ac:dyDescent="0.15">
      <c r="A85" s="95"/>
      <c r="B85" s="121" t="s">
        <v>315</v>
      </c>
      <c r="C85" s="122" t="s">
        <v>316</v>
      </c>
      <c r="D85" s="120" t="s">
        <v>123</v>
      </c>
      <c r="E85" s="123">
        <v>1</v>
      </c>
      <c r="F85" s="35">
        <v>4393</v>
      </c>
      <c r="G85" s="35">
        <f>F85*E85</f>
        <v>4393</v>
      </c>
    </row>
    <row r="86" spans="1:8" ht="13.5" x14ac:dyDescent="0.15">
      <c r="A86" s="95"/>
      <c r="B86" s="121" t="s">
        <v>317</v>
      </c>
      <c r="C86" s="122" t="s">
        <v>318</v>
      </c>
      <c r="D86" s="120" t="s">
        <v>123</v>
      </c>
      <c r="E86" s="123">
        <v>1</v>
      </c>
      <c r="F86" s="35">
        <v>4393</v>
      </c>
      <c r="G86" s="35">
        <f>F86*E86</f>
        <v>4393</v>
      </c>
    </row>
    <row r="87" spans="1:8" ht="13.5" x14ac:dyDescent="0.15">
      <c r="A87" s="95"/>
      <c r="B87" s="121" t="s">
        <v>319</v>
      </c>
      <c r="C87" s="122" t="s">
        <v>320</v>
      </c>
      <c r="D87" s="120" t="s">
        <v>123</v>
      </c>
      <c r="E87" s="123">
        <v>1</v>
      </c>
      <c r="F87" s="35">
        <v>4393</v>
      </c>
      <c r="G87" s="35">
        <f>F87*E87</f>
        <v>4393</v>
      </c>
    </row>
    <row r="88" spans="1:8" ht="13.5" x14ac:dyDescent="0.15">
      <c r="A88" s="95"/>
      <c r="B88" s="121" t="s">
        <v>321</v>
      </c>
      <c r="C88" s="122" t="s">
        <v>322</v>
      </c>
      <c r="D88" s="120" t="s">
        <v>123</v>
      </c>
      <c r="E88" s="123">
        <v>1</v>
      </c>
      <c r="F88" s="35">
        <v>4393</v>
      </c>
      <c r="G88" s="35">
        <f>F88*E88</f>
        <v>4393</v>
      </c>
    </row>
    <row r="89" spans="1:8" ht="13.5" x14ac:dyDescent="0.15">
      <c r="A89" s="95"/>
      <c r="B89" s="121" t="s">
        <v>323</v>
      </c>
      <c r="C89" s="122" t="s">
        <v>324</v>
      </c>
      <c r="D89" s="120" t="s">
        <v>123</v>
      </c>
      <c r="E89" s="123">
        <v>1</v>
      </c>
      <c r="F89" s="35">
        <v>4393</v>
      </c>
      <c r="G89" s="35">
        <f>F89*E89</f>
        <v>4393</v>
      </c>
    </row>
    <row r="90" spans="1:8" ht="13.5" x14ac:dyDescent="0.15">
      <c r="A90" s="95"/>
      <c r="B90" s="121" t="s">
        <v>325</v>
      </c>
      <c r="C90" s="122" t="s">
        <v>326</v>
      </c>
      <c r="D90" s="120" t="s">
        <v>123</v>
      </c>
      <c r="E90" s="123">
        <v>1</v>
      </c>
      <c r="F90" s="35">
        <v>4393</v>
      </c>
      <c r="G90" s="35">
        <f>F90*E90</f>
        <v>4393</v>
      </c>
    </row>
    <row r="91" spans="1:8" ht="12.75" x14ac:dyDescent="0.15">
      <c r="A91" s="95"/>
      <c r="B91" s="121"/>
      <c r="C91" s="122"/>
      <c r="D91" s="120"/>
      <c r="E91" s="123"/>
      <c r="F91" s="77"/>
      <c r="G91" s="78"/>
    </row>
    <row r="92" spans="1:8" ht="12.75" x14ac:dyDescent="0.15">
      <c r="A92" s="95"/>
      <c r="B92" s="127" t="s">
        <v>327</v>
      </c>
      <c r="C92" s="128" t="s">
        <v>328</v>
      </c>
      <c r="D92" s="129"/>
      <c r="E92" s="124"/>
      <c r="F92" s="77"/>
      <c r="G92" s="78"/>
    </row>
    <row r="93" spans="1:8" ht="12.75" x14ac:dyDescent="0.15">
      <c r="A93" s="95"/>
      <c r="B93" s="121"/>
      <c r="C93" s="128" t="s">
        <v>329</v>
      </c>
      <c r="D93" s="129"/>
      <c r="E93" s="124"/>
      <c r="F93" s="77"/>
      <c r="G93" s="78"/>
    </row>
    <row r="94" spans="1:8" ht="12.75" x14ac:dyDescent="0.15">
      <c r="A94" s="95"/>
      <c r="B94" s="130"/>
      <c r="C94" s="128" t="s">
        <v>330</v>
      </c>
      <c r="D94" s="129"/>
      <c r="E94" s="124"/>
      <c r="F94" s="77"/>
      <c r="G94" s="78"/>
    </row>
    <row r="95" spans="1:8" ht="12.75" x14ac:dyDescent="0.15">
      <c r="A95" s="95"/>
      <c r="B95" s="131"/>
      <c r="C95" s="128" t="s">
        <v>331</v>
      </c>
      <c r="D95" s="132"/>
      <c r="E95" s="124"/>
      <c r="F95" s="77"/>
      <c r="G95" s="78"/>
    </row>
    <row r="96" spans="1:8" ht="12.75" x14ac:dyDescent="0.15">
      <c r="A96" s="95"/>
      <c r="B96" s="131"/>
      <c r="C96" s="128" t="s">
        <v>332</v>
      </c>
      <c r="D96" s="132"/>
      <c r="E96" s="124"/>
      <c r="F96" s="77"/>
      <c r="G96" s="78"/>
    </row>
    <row r="97" spans="1:8" ht="12.75" x14ac:dyDescent="0.15">
      <c r="A97" s="133"/>
      <c r="B97" s="134"/>
      <c r="C97" s="128" t="s">
        <v>333</v>
      </c>
      <c r="D97" s="132"/>
      <c r="E97" s="124"/>
      <c r="F97" s="135"/>
      <c r="G97" s="136"/>
    </row>
    <row r="98" spans="1:8" ht="15" customHeight="1" x14ac:dyDescent="0.15">
      <c r="A98" s="133"/>
      <c r="B98" s="134"/>
      <c r="C98" s="115" t="s">
        <v>334</v>
      </c>
      <c r="D98" s="129"/>
      <c r="E98" s="124"/>
      <c r="F98" s="135"/>
      <c r="G98" s="136"/>
    </row>
    <row r="99" spans="1:8" ht="22.5" customHeight="1" x14ac:dyDescent="0.15">
      <c r="A99" s="133"/>
      <c r="B99" s="134"/>
      <c r="C99" s="128" t="s">
        <v>335</v>
      </c>
      <c r="D99" s="129"/>
      <c r="E99" s="124"/>
      <c r="F99" s="135"/>
      <c r="G99" s="136"/>
    </row>
    <row r="100" spans="1:8" ht="15" customHeight="1" x14ac:dyDescent="0.15">
      <c r="A100" s="133"/>
      <c r="B100" s="131"/>
      <c r="C100" s="115"/>
      <c r="D100" s="137"/>
      <c r="E100" s="124"/>
      <c r="F100" s="135"/>
      <c r="G100" s="136"/>
    </row>
    <row r="101" spans="1:8" ht="29.25" customHeight="1" x14ac:dyDescent="0.15">
      <c r="A101" s="133"/>
      <c r="B101" s="138" t="s">
        <v>336</v>
      </c>
      <c r="C101" s="139" t="s">
        <v>337</v>
      </c>
      <c r="D101" s="94" t="s">
        <v>338</v>
      </c>
      <c r="E101" s="123">
        <v>2</v>
      </c>
      <c r="F101" s="35">
        <v>3417</v>
      </c>
      <c r="G101" s="35">
        <f>F101*E101</f>
        <v>6834</v>
      </c>
    </row>
    <row r="102" spans="1:8" ht="29.25" customHeight="1" x14ac:dyDescent="0.15">
      <c r="A102" s="133"/>
      <c r="B102" s="121" t="s">
        <v>339</v>
      </c>
      <c r="C102" s="139" t="s">
        <v>340</v>
      </c>
      <c r="D102" s="94" t="s">
        <v>338</v>
      </c>
      <c r="E102" s="123">
        <v>0</v>
      </c>
      <c r="F102" s="35">
        <v>0</v>
      </c>
      <c r="G102" s="35">
        <f>F102*E102</f>
        <v>0</v>
      </c>
    </row>
    <row r="103" spans="1:8" ht="15.75" customHeight="1" x14ac:dyDescent="0.15">
      <c r="A103" s="133"/>
      <c r="B103" s="121" t="s">
        <v>341</v>
      </c>
      <c r="C103" s="139" t="s">
        <v>342</v>
      </c>
      <c r="D103" s="94" t="s">
        <v>338</v>
      </c>
      <c r="E103" s="123">
        <v>4</v>
      </c>
      <c r="F103" s="35">
        <v>2440</v>
      </c>
      <c r="G103" s="35">
        <f>F103*E103</f>
        <v>9760</v>
      </c>
    </row>
    <row r="104" spans="1:8" ht="33.75" customHeight="1" x14ac:dyDescent="0.15">
      <c r="A104" s="133"/>
      <c r="B104" s="121" t="s">
        <v>343</v>
      </c>
      <c r="C104" s="139" t="s">
        <v>344</v>
      </c>
      <c r="D104" s="94" t="s">
        <v>338</v>
      </c>
      <c r="E104" s="123">
        <v>2</v>
      </c>
      <c r="F104" s="35">
        <v>1952</v>
      </c>
      <c r="G104" s="35">
        <f>F104*E104</f>
        <v>3904</v>
      </c>
    </row>
    <row r="105" spans="1:8" ht="34.5" customHeight="1" x14ac:dyDescent="0.15">
      <c r="A105" s="133"/>
      <c r="B105" s="121" t="s">
        <v>345</v>
      </c>
      <c r="C105" s="139" t="s">
        <v>346</v>
      </c>
      <c r="D105" s="94" t="s">
        <v>338</v>
      </c>
      <c r="E105" s="123">
        <v>7</v>
      </c>
      <c r="F105" s="35">
        <v>2441</v>
      </c>
      <c r="G105" s="35">
        <f>F105*E105</f>
        <v>17087</v>
      </c>
    </row>
    <row r="106" spans="1:8" ht="22.5" customHeight="1" x14ac:dyDescent="0.15">
      <c r="A106" s="87"/>
      <c r="B106" s="140" t="s">
        <v>132</v>
      </c>
      <c r="C106" s="119" t="s">
        <v>347</v>
      </c>
      <c r="D106" s="120"/>
      <c r="E106" s="124"/>
      <c r="F106" s="35"/>
      <c r="G106" s="35"/>
    </row>
    <row r="107" spans="1:8" ht="12.75" x14ac:dyDescent="0.15">
      <c r="A107" s="95"/>
      <c r="B107" s="141"/>
      <c r="C107" s="122"/>
      <c r="D107" s="120"/>
      <c r="E107" s="124"/>
      <c r="F107" s="77"/>
      <c r="G107" s="78"/>
    </row>
    <row r="108" spans="1:8" ht="46.5" x14ac:dyDescent="0.15">
      <c r="A108" s="95"/>
      <c r="B108" s="125" t="s">
        <v>348</v>
      </c>
      <c r="C108" s="126" t="s">
        <v>349</v>
      </c>
      <c r="D108" s="120"/>
      <c r="E108" s="124"/>
      <c r="F108" s="77"/>
      <c r="G108" s="78"/>
    </row>
    <row r="109" spans="1:8" ht="34.5" customHeight="1" x14ac:dyDescent="0.15">
      <c r="A109" s="95"/>
      <c r="B109" s="121"/>
      <c r="C109" s="122"/>
      <c r="D109" s="120"/>
      <c r="E109" s="124"/>
      <c r="F109" s="77"/>
      <c r="G109" s="78"/>
    </row>
    <row r="110" spans="1:8" ht="29.25" customHeight="1" x14ac:dyDescent="0.15">
      <c r="A110" s="87"/>
      <c r="B110" s="121" t="s">
        <v>222</v>
      </c>
      <c r="C110" s="142" t="s">
        <v>350</v>
      </c>
      <c r="D110" s="120" t="s">
        <v>338</v>
      </c>
      <c r="E110" s="123">
        <v>1</v>
      </c>
      <c r="F110" s="35">
        <v>840</v>
      </c>
      <c r="G110" s="35">
        <f>F110*E110</f>
        <v>840</v>
      </c>
    </row>
    <row r="111" spans="1:8" ht="16.5" customHeight="1" x14ac:dyDescent="0.15">
      <c r="A111" s="87"/>
      <c r="B111" s="121"/>
      <c r="C111" s="143"/>
      <c r="D111" s="120"/>
      <c r="E111" s="123"/>
      <c r="F111" s="77"/>
      <c r="G111" s="78"/>
    </row>
    <row r="112" spans="1:8" ht="32.25" customHeight="1" x14ac:dyDescent="0.15">
      <c r="A112" s="95"/>
      <c r="B112" s="121" t="s">
        <v>224</v>
      </c>
      <c r="C112" s="142" t="s">
        <v>351</v>
      </c>
      <c r="D112" s="94" t="s">
        <v>338</v>
      </c>
      <c r="E112" s="123">
        <v>1</v>
      </c>
      <c r="F112" s="35">
        <v>615</v>
      </c>
      <c r="G112" s="35">
        <f>F112*E112</f>
        <v>615</v>
      </c>
    </row>
    <row r="113" spans="1:8" ht="32.25" customHeight="1" x14ac:dyDescent="0.15">
      <c r="A113" s="95"/>
      <c r="B113" s="114" t="s">
        <v>226</v>
      </c>
      <c r="C113" s="143" t="s">
        <v>352</v>
      </c>
      <c r="D113" s="94" t="s">
        <v>338</v>
      </c>
      <c r="E113" s="123">
        <v>1</v>
      </c>
      <c r="F113" s="35">
        <v>2441</v>
      </c>
      <c r="G113" s="35">
        <f>F113*E113</f>
        <v>2441</v>
      </c>
    </row>
    <row r="114" spans="1:8" ht="27.75" customHeight="1" x14ac:dyDescent="0.15">
      <c r="A114" s="95"/>
      <c r="B114" s="114"/>
      <c r="C114" s="143"/>
      <c r="D114" s="94"/>
      <c r="E114" s="123"/>
      <c r="F114" s="77"/>
      <c r="G114" s="78"/>
    </row>
    <row r="115" spans="1:8" ht="24" x14ac:dyDescent="0.15">
      <c r="A115" s="95"/>
      <c r="B115" s="114" t="s">
        <v>228</v>
      </c>
      <c r="C115" s="143" t="s">
        <v>353</v>
      </c>
      <c r="D115" s="94" t="s">
        <v>338</v>
      </c>
      <c r="E115" s="123">
        <v>4</v>
      </c>
      <c r="F115" s="35">
        <v>635</v>
      </c>
      <c r="G115" s="35">
        <f>F115*E115</f>
        <v>2540</v>
      </c>
    </row>
    <row r="116" spans="1:8" ht="12.75" x14ac:dyDescent="0.15">
      <c r="A116" s="95"/>
      <c r="B116" s="114"/>
      <c r="C116" s="143"/>
      <c r="D116" s="94"/>
      <c r="E116" s="123"/>
      <c r="F116" s="77"/>
      <c r="G116" s="78"/>
    </row>
    <row r="117" spans="1:8" ht="12.75" customHeight="1" x14ac:dyDescent="0.15">
      <c r="A117" s="95"/>
      <c r="B117" s="114"/>
      <c r="C117" s="117"/>
      <c r="D117" s="94"/>
      <c r="E117" s="123"/>
      <c r="F117" s="77"/>
      <c r="G117" s="78"/>
    </row>
    <row r="118" spans="1:8" ht="12.75" customHeight="1" x14ac:dyDescent="0.15">
      <c r="A118" s="95"/>
      <c r="B118" s="114"/>
      <c r="C118" s="117"/>
      <c r="D118" s="94"/>
      <c r="E118" s="123"/>
      <c r="F118" s="77"/>
      <c r="G118" s="78"/>
    </row>
    <row r="119" spans="1:8" ht="12.75" customHeight="1" x14ac:dyDescent="0.15">
      <c r="A119" s="95"/>
      <c r="B119" s="114"/>
      <c r="C119" s="117"/>
      <c r="D119" s="94"/>
      <c r="E119" s="123"/>
      <c r="F119" s="77"/>
      <c r="G119" s="78"/>
    </row>
    <row r="120" spans="1:8" ht="12.75" customHeight="1" x14ac:dyDescent="0.15">
      <c r="A120" s="95"/>
      <c r="B120" s="144" t="s">
        <v>354</v>
      </c>
      <c r="C120" s="145" t="s">
        <v>355</v>
      </c>
      <c r="D120" s="132"/>
      <c r="E120" s="124"/>
      <c r="F120" s="77"/>
      <c r="G120" s="78"/>
    </row>
    <row r="121" spans="1:8" ht="12.75" customHeight="1" x14ac:dyDescent="0.15">
      <c r="A121" s="95"/>
      <c r="B121" s="121"/>
      <c r="C121" s="145" t="s">
        <v>356</v>
      </c>
      <c r="D121" s="132"/>
      <c r="E121" s="124"/>
      <c r="F121" s="77"/>
      <c r="G121" s="78"/>
    </row>
    <row r="122" spans="1:8" ht="12.75" customHeight="1" x14ac:dyDescent="0.15">
      <c r="A122" s="95"/>
      <c r="B122" s="144"/>
      <c r="C122" s="145" t="s">
        <v>357</v>
      </c>
      <c r="D122" s="132"/>
      <c r="E122" s="124"/>
      <c r="F122" s="77"/>
      <c r="G122" s="78"/>
    </row>
    <row r="123" spans="1:8" ht="12.75" customHeight="1" x14ac:dyDescent="0.15">
      <c r="A123" s="95"/>
      <c r="B123" s="134"/>
      <c r="C123" s="115" t="s">
        <v>358</v>
      </c>
      <c r="D123" s="132"/>
      <c r="E123" s="124"/>
      <c r="F123" s="77"/>
      <c r="G123" s="78"/>
    </row>
    <row r="124" spans="1:8" ht="12.75" x14ac:dyDescent="0.15">
      <c r="A124" s="95"/>
      <c r="B124" s="134"/>
      <c r="C124" s="145"/>
      <c r="D124" s="141"/>
      <c r="E124" s="124"/>
      <c r="F124" s="77"/>
      <c r="G124" s="78"/>
    </row>
    <row r="125" spans="1:8" ht="15" customHeight="1" x14ac:dyDescent="0.15">
      <c r="A125" s="95"/>
      <c r="B125" s="141"/>
      <c r="C125" s="115"/>
      <c r="D125" s="120"/>
      <c r="E125" s="124"/>
      <c r="F125" s="77"/>
      <c r="G125" s="78"/>
    </row>
    <row r="126" spans="1:8" ht="15" customHeight="1" x14ac:dyDescent="0.15">
      <c r="A126" s="95"/>
      <c r="B126" s="131" t="s">
        <v>237</v>
      </c>
      <c r="C126" s="89" t="s">
        <v>359</v>
      </c>
      <c r="D126" s="120" t="s">
        <v>145</v>
      </c>
      <c r="E126" s="123">
        <v>285</v>
      </c>
      <c r="F126" s="35">
        <v>87</v>
      </c>
      <c r="G126" s="35">
        <f>F126*E126</f>
        <v>24795</v>
      </c>
    </row>
    <row r="127" spans="1:8" ht="13.5" x14ac:dyDescent="0.15">
      <c r="A127" s="95"/>
      <c r="B127" s="125"/>
      <c r="C127" s="122"/>
      <c r="D127" s="120"/>
      <c r="E127" s="123"/>
      <c r="F127" s="35"/>
      <c r="G127" s="35"/>
    </row>
    <row r="128" spans="1:8" ht="13.5" x14ac:dyDescent="0.15">
      <c r="A128" s="95"/>
      <c r="B128" s="121" t="s">
        <v>239</v>
      </c>
      <c r="C128" s="89" t="s">
        <v>360</v>
      </c>
      <c r="D128" s="120" t="s">
        <v>145</v>
      </c>
      <c r="E128" s="123">
        <v>515</v>
      </c>
      <c r="F128" s="35">
        <v>59</v>
      </c>
      <c r="G128" s="35">
        <f>F128*E128</f>
        <v>30385</v>
      </c>
    </row>
    <row r="129" spans="1:8" ht="13.5" x14ac:dyDescent="0.15">
      <c r="A129" s="95"/>
      <c r="B129" s="121"/>
      <c r="C129" s="122"/>
      <c r="D129" s="120"/>
      <c r="E129" s="123"/>
      <c r="F129" s="35"/>
      <c r="G129" s="35"/>
    </row>
    <row r="130" spans="1:8" ht="15" customHeight="1" x14ac:dyDescent="0.15">
      <c r="A130" s="95"/>
      <c r="B130" s="121" t="s">
        <v>241</v>
      </c>
      <c r="C130" s="89" t="s">
        <v>361</v>
      </c>
      <c r="D130" s="120" t="s">
        <v>145</v>
      </c>
      <c r="E130" s="123">
        <v>142</v>
      </c>
      <c r="F130" s="35">
        <v>49</v>
      </c>
      <c r="G130" s="35">
        <f>F130*E130</f>
        <v>6958</v>
      </c>
    </row>
    <row r="131" spans="1:8" ht="15" customHeight="1" x14ac:dyDescent="0.15">
      <c r="A131" s="95"/>
      <c r="B131" s="121"/>
      <c r="C131" s="122"/>
      <c r="D131" s="120"/>
      <c r="E131" s="123"/>
      <c r="F131" s="77"/>
      <c r="G131" s="78"/>
    </row>
    <row r="132" spans="1:8" ht="15" customHeight="1" x14ac:dyDescent="0.15">
      <c r="A132" s="95"/>
      <c r="B132" s="121"/>
      <c r="C132" s="122"/>
      <c r="D132" s="120"/>
      <c r="E132" s="123"/>
      <c r="F132" s="77"/>
      <c r="G132" s="78"/>
    </row>
    <row r="133" spans="1:8" ht="15" customHeight="1" x14ac:dyDescent="0.15">
      <c r="A133" s="95"/>
      <c r="B133" s="121"/>
      <c r="C133" s="122"/>
      <c r="D133" s="120"/>
      <c r="E133" s="123"/>
      <c r="F133" s="77"/>
      <c r="G133" s="78"/>
    </row>
    <row r="134" spans="1:8" ht="15" customHeight="1" x14ac:dyDescent="0.15">
      <c r="A134" s="95"/>
      <c r="B134" s="121"/>
      <c r="C134" s="122"/>
      <c r="D134" s="120"/>
      <c r="E134" s="123"/>
      <c r="F134" s="77"/>
      <c r="G134" s="78"/>
    </row>
    <row r="135" spans="1:8" ht="12.75" x14ac:dyDescent="0.15">
      <c r="A135" s="95"/>
      <c r="B135" s="121"/>
      <c r="C135" s="122"/>
      <c r="D135" s="120"/>
      <c r="E135" s="123"/>
      <c r="F135" s="77"/>
      <c r="G135" s="78"/>
    </row>
    <row r="136" spans="1:8" ht="15" customHeight="1" x14ac:dyDescent="0.15">
      <c r="A136" s="87"/>
      <c r="B136" s="121"/>
      <c r="C136" s="122"/>
      <c r="D136" s="120"/>
      <c r="E136" s="124"/>
      <c r="F136" s="77"/>
      <c r="G136" s="78"/>
    </row>
    <row r="137" spans="1:8" ht="15" customHeight="1" x14ac:dyDescent="0.15">
      <c r="A137" s="87"/>
      <c r="B137" s="140" t="s">
        <v>140</v>
      </c>
      <c r="C137" s="119" t="s">
        <v>362</v>
      </c>
      <c r="D137" s="132"/>
      <c r="E137" s="124"/>
      <c r="F137" s="77"/>
      <c r="G137" s="78"/>
    </row>
    <row r="138" spans="1:8" ht="15" customHeight="1" x14ac:dyDescent="0.15">
      <c r="A138" s="95"/>
      <c r="B138" s="121"/>
      <c r="C138" s="146"/>
      <c r="D138" s="132"/>
      <c r="E138" s="124"/>
      <c r="F138" s="77"/>
      <c r="G138" s="78"/>
    </row>
    <row r="139" spans="1:8" ht="15" customHeight="1" x14ac:dyDescent="0.15">
      <c r="A139" s="95"/>
      <c r="B139" s="125"/>
      <c r="C139" s="146"/>
      <c r="D139" s="132"/>
      <c r="E139" s="124"/>
      <c r="F139" s="77"/>
      <c r="G139" s="78"/>
    </row>
    <row r="140" spans="1:8" ht="15" customHeight="1" x14ac:dyDescent="0.15">
      <c r="A140" s="95"/>
      <c r="B140" s="147" t="s">
        <v>348</v>
      </c>
      <c r="C140" s="115" t="s">
        <v>363</v>
      </c>
      <c r="D140" s="132"/>
      <c r="E140" s="124"/>
      <c r="F140" s="77"/>
      <c r="G140" s="78"/>
    </row>
    <row r="141" spans="1:8" ht="15" customHeight="1" x14ac:dyDescent="0.15">
      <c r="A141" s="95"/>
      <c r="B141" s="148"/>
      <c r="C141" s="146" t="s">
        <v>364</v>
      </c>
      <c r="D141" s="132"/>
      <c r="E141" s="124"/>
      <c r="F141" s="77"/>
      <c r="G141" s="78"/>
    </row>
    <row r="142" spans="1:8" ht="15" customHeight="1" x14ac:dyDescent="0.15">
      <c r="A142" s="95"/>
      <c r="B142" s="147"/>
      <c r="C142" s="146" t="s">
        <v>365</v>
      </c>
      <c r="D142" s="132"/>
      <c r="E142" s="124"/>
      <c r="F142" s="77"/>
      <c r="G142" s="78"/>
    </row>
    <row r="143" spans="1:8" ht="14.25" x14ac:dyDescent="0.15">
      <c r="A143" s="95"/>
      <c r="B143" s="148"/>
      <c r="C143" s="146" t="s">
        <v>366</v>
      </c>
      <c r="D143" s="132"/>
      <c r="E143" s="124"/>
      <c r="F143" s="77"/>
      <c r="G143" s="78"/>
    </row>
    <row r="144" spans="1:8" ht="14.25" x14ac:dyDescent="0.15">
      <c r="A144" s="95"/>
      <c r="B144" s="148"/>
      <c r="C144" s="146" t="s">
        <v>367</v>
      </c>
      <c r="D144" s="132"/>
      <c r="E144" s="124"/>
      <c r="F144" s="77"/>
      <c r="G144" s="78"/>
    </row>
    <row r="145" spans="1:11" ht="14.25" x14ac:dyDescent="0.15">
      <c r="A145" s="95"/>
      <c r="B145" s="148"/>
      <c r="C145" s="146" t="s">
        <v>368</v>
      </c>
      <c r="D145" s="132"/>
      <c r="E145" s="124"/>
      <c r="F145" s="77"/>
      <c r="G145" s="78"/>
    </row>
    <row r="146" spans="1:11" ht="14.25" x14ac:dyDescent="0.15">
      <c r="A146" s="95"/>
      <c r="B146" s="148"/>
      <c r="C146" s="146" t="s">
        <v>369</v>
      </c>
      <c r="D146" s="132"/>
      <c r="E146" s="124"/>
      <c r="F146" s="77"/>
      <c r="G146" s="78"/>
    </row>
    <row r="147" spans="1:11" ht="15" customHeight="1" x14ac:dyDescent="0.15">
      <c r="A147" s="95"/>
      <c r="B147" s="148"/>
      <c r="C147" s="146" t="s">
        <v>370</v>
      </c>
      <c r="D147" s="132"/>
      <c r="E147" s="124"/>
      <c r="F147" s="77"/>
      <c r="G147" s="78"/>
    </row>
    <row r="148" spans="1:11" ht="28.5" customHeight="1" x14ac:dyDescent="0.15">
      <c r="A148" s="95"/>
      <c r="B148" s="148"/>
      <c r="C148" s="146" t="s">
        <v>371</v>
      </c>
      <c r="D148" s="132"/>
      <c r="E148" s="124"/>
      <c r="F148" s="77"/>
      <c r="G148" s="78"/>
    </row>
    <row r="149" spans="1:11" ht="17.25" customHeight="1" x14ac:dyDescent="0.15">
      <c r="A149" s="95"/>
      <c r="B149" s="148"/>
      <c r="C149" s="146" t="s">
        <v>372</v>
      </c>
      <c r="D149" s="132"/>
      <c r="E149" s="124"/>
      <c r="F149" s="77"/>
      <c r="G149" s="78"/>
    </row>
    <row r="150" spans="1:11" ht="30.75" customHeight="1" x14ac:dyDescent="0.15">
      <c r="A150" s="95"/>
      <c r="B150" s="148"/>
      <c r="C150" s="146" t="s">
        <v>373</v>
      </c>
      <c r="D150" s="132"/>
      <c r="E150" s="124"/>
      <c r="F150" s="77"/>
      <c r="G150" s="78"/>
    </row>
    <row r="151" spans="1:11" ht="14.25" x14ac:dyDescent="0.15">
      <c r="A151" s="95"/>
      <c r="B151" s="148"/>
      <c r="C151" s="146"/>
      <c r="D151" s="132"/>
      <c r="E151" s="124"/>
      <c r="F151" s="77"/>
      <c r="G151" s="78"/>
    </row>
    <row r="152" spans="1:11" ht="14.25" x14ac:dyDescent="0.15">
      <c r="A152" s="95"/>
      <c r="B152" s="148"/>
      <c r="C152" s="149" t="s">
        <v>374</v>
      </c>
      <c r="D152" s="94" t="s">
        <v>211</v>
      </c>
      <c r="E152" s="124"/>
      <c r="F152" s="77"/>
      <c r="G152" s="78"/>
    </row>
    <row r="153" spans="1:11" ht="15" customHeight="1" x14ac:dyDescent="0.15">
      <c r="A153" s="95"/>
      <c r="B153" s="148"/>
      <c r="C153" s="149"/>
      <c r="D153" s="132"/>
      <c r="E153" s="124"/>
      <c r="F153" s="77"/>
      <c r="G153" s="78"/>
    </row>
    <row r="154" spans="1:11" ht="13.5" x14ac:dyDescent="0.15">
      <c r="A154" s="95"/>
      <c r="B154" s="150" t="s">
        <v>222</v>
      </c>
      <c r="C154" s="149" t="s">
        <v>375</v>
      </c>
      <c r="D154" s="120" t="s">
        <v>123</v>
      </c>
      <c r="E154" s="123">
        <v>6</v>
      </c>
      <c r="F154" s="35">
        <v>244</v>
      </c>
      <c r="G154" s="35">
        <f>F154*E154</f>
        <v>1464</v>
      </c>
    </row>
    <row r="155" spans="1:11" ht="13.5" x14ac:dyDescent="0.15">
      <c r="A155" s="95"/>
      <c r="B155" s="150" t="s">
        <v>224</v>
      </c>
      <c r="C155" s="149" t="s">
        <v>376</v>
      </c>
      <c r="D155" s="120" t="s">
        <v>123</v>
      </c>
      <c r="E155" s="123">
        <v>1</v>
      </c>
      <c r="F155" s="35">
        <v>440</v>
      </c>
      <c r="G155" s="35">
        <f>F155*E155</f>
        <v>440</v>
      </c>
    </row>
    <row r="156" spans="1:11" ht="13.5" x14ac:dyDescent="0.15">
      <c r="A156" s="95"/>
      <c r="B156" s="150" t="s">
        <v>226</v>
      </c>
      <c r="C156" s="214" t="s">
        <v>377</v>
      </c>
      <c r="D156" s="120" t="s">
        <v>145</v>
      </c>
      <c r="E156" s="123">
        <v>192</v>
      </c>
      <c r="F156" s="35">
        <v>79</v>
      </c>
      <c r="G156" s="35">
        <f>F156*E156</f>
        <v>15168</v>
      </c>
    </row>
    <row r="157" spans="1:11" ht="13.5" x14ac:dyDescent="0.15">
      <c r="A157" s="95"/>
      <c r="B157" s="150" t="s">
        <v>228</v>
      </c>
      <c r="C157" s="149" t="s">
        <v>378</v>
      </c>
      <c r="D157" s="120" t="s">
        <v>123</v>
      </c>
      <c r="E157" s="123">
        <v>1</v>
      </c>
      <c r="F157" s="35">
        <v>1757</v>
      </c>
      <c r="G157" s="35">
        <f>F157*E157</f>
        <v>1757</v>
      </c>
    </row>
    <row r="158" spans="1:11" ht="12.75" x14ac:dyDescent="0.15">
      <c r="A158" s="95"/>
      <c r="B158" s="150"/>
      <c r="C158" s="151"/>
      <c r="D158" s="120"/>
      <c r="E158" s="123"/>
      <c r="F158" s="77"/>
      <c r="G158" s="78"/>
    </row>
    <row r="159" spans="1:11" ht="12.75" x14ac:dyDescent="0.15">
      <c r="A159" s="95"/>
      <c r="B159" s="150"/>
      <c r="C159" s="117"/>
      <c r="D159" s="120"/>
      <c r="E159" s="123"/>
      <c r="F159" s="77"/>
      <c r="G159" s="78"/>
    </row>
    <row r="160" spans="1:11" ht="12.75" x14ac:dyDescent="0.15">
      <c r="A160" s="95"/>
      <c r="B160" s="150"/>
      <c r="C160" s="143"/>
      <c r="D160" s="120"/>
      <c r="E160" s="123"/>
      <c r="F160" s="77"/>
      <c r="G160" s="78"/>
    </row>
    <row r="161" spans="1:8" ht="12.75" x14ac:dyDescent="0.15">
      <c r="A161" s="95"/>
      <c r="B161" s="150"/>
      <c r="C161" s="149"/>
      <c r="D161" s="120"/>
      <c r="E161" s="123"/>
      <c r="F161" s="77"/>
      <c r="G161" s="78"/>
    </row>
    <row r="162" spans="1:8" ht="15" customHeight="1" x14ac:dyDescent="0.15">
      <c r="A162" s="95"/>
      <c r="B162" s="150"/>
      <c r="C162" s="149"/>
      <c r="D162" s="120"/>
      <c r="E162" s="123"/>
      <c r="F162" s="77"/>
      <c r="G162" s="78"/>
    </row>
    <row r="163" spans="1:8" ht="15" customHeight="1" x14ac:dyDescent="0.15">
      <c r="A163" s="95"/>
      <c r="B163" s="114"/>
      <c r="C163" s="151"/>
      <c r="D163" s="120"/>
      <c r="E163" s="123"/>
      <c r="F163" s="77"/>
      <c r="G163" s="78"/>
    </row>
    <row r="164" spans="1:8" ht="15" customHeight="1" x14ac:dyDescent="0.15">
      <c r="A164" s="95"/>
      <c r="B164" s="134"/>
      <c r="C164" s="146"/>
      <c r="D164" s="114"/>
      <c r="E164" s="124"/>
      <c r="F164" s="77"/>
      <c r="G164" s="78"/>
    </row>
    <row r="165" spans="1:8" ht="15" customHeight="1" x14ac:dyDescent="0.15">
      <c r="A165" s="95"/>
      <c r="B165" s="114"/>
      <c r="C165" s="115"/>
      <c r="D165" s="94"/>
      <c r="E165" s="124"/>
      <c r="F165" s="77"/>
      <c r="G165" s="78"/>
    </row>
    <row r="166" spans="1:8" ht="15" customHeight="1" x14ac:dyDescent="0.15">
      <c r="A166" s="95"/>
      <c r="B166" s="152" t="s">
        <v>160</v>
      </c>
      <c r="C166" s="153" t="s">
        <v>379</v>
      </c>
      <c r="D166" s="94"/>
      <c r="E166" s="123"/>
      <c r="F166" s="77"/>
      <c r="G166" s="78"/>
    </row>
    <row r="167" spans="1:8" ht="25.5" customHeight="1" x14ac:dyDescent="0.15">
      <c r="A167" s="95"/>
      <c r="B167" s="114"/>
      <c r="C167" s="117"/>
      <c r="D167" s="94"/>
      <c r="E167" s="123"/>
      <c r="F167" s="77"/>
      <c r="G167" s="78"/>
    </row>
    <row r="168" spans="1:8" ht="28.5" customHeight="1" x14ac:dyDescent="0.15">
      <c r="A168" s="95"/>
      <c r="B168" s="125" t="s">
        <v>348</v>
      </c>
      <c r="C168" s="126" t="s">
        <v>380</v>
      </c>
      <c r="D168" s="94"/>
      <c r="E168" s="123"/>
      <c r="F168" s="77"/>
      <c r="G168" s="78"/>
    </row>
    <row r="169" spans="1:8" ht="28.5" customHeight="1" x14ac:dyDescent="0.15">
      <c r="A169" s="95"/>
      <c r="B169" s="114"/>
      <c r="C169" s="115" t="s">
        <v>381</v>
      </c>
      <c r="D169" s="94"/>
      <c r="E169" s="123"/>
      <c r="F169" s="77"/>
      <c r="G169" s="78"/>
    </row>
    <row r="170" spans="1:8" ht="15" customHeight="1" x14ac:dyDescent="0.15">
      <c r="A170" s="95"/>
      <c r="B170" s="114"/>
      <c r="C170" s="115" t="s">
        <v>382</v>
      </c>
      <c r="D170" s="94"/>
      <c r="E170" s="123"/>
      <c r="F170" s="77"/>
      <c r="G170" s="78"/>
    </row>
    <row r="171" spans="1:8" ht="15" customHeight="1" x14ac:dyDescent="0.15">
      <c r="A171" s="95"/>
      <c r="B171" s="114"/>
      <c r="C171" s="115" t="s">
        <v>383</v>
      </c>
      <c r="D171" s="94"/>
      <c r="E171" s="123"/>
      <c r="F171" s="77"/>
      <c r="G171" s="78"/>
    </row>
    <row r="172" spans="1:8" ht="18" customHeight="1" x14ac:dyDescent="0.15">
      <c r="A172" s="95"/>
      <c r="B172" s="114"/>
      <c r="C172" s="115" t="s">
        <v>384</v>
      </c>
      <c r="D172" s="94"/>
      <c r="E172" s="123"/>
      <c r="F172" s="77"/>
      <c r="G172" s="78"/>
    </row>
    <row r="173" spans="1:8" ht="18" customHeight="1" x14ac:dyDescent="0.15">
      <c r="A173" s="95"/>
      <c r="B173" s="114"/>
      <c r="C173" s="115" t="s">
        <v>385</v>
      </c>
      <c r="D173" s="94"/>
      <c r="E173" s="123"/>
      <c r="F173" s="77"/>
      <c r="G173" s="78"/>
    </row>
    <row r="174" spans="1:8" ht="18" customHeight="1" x14ac:dyDescent="0.15">
      <c r="A174" s="95"/>
      <c r="B174" s="114"/>
      <c r="C174" s="117"/>
      <c r="D174" s="94"/>
      <c r="E174" s="123"/>
      <c r="F174" s="77"/>
      <c r="G174" s="78"/>
    </row>
    <row r="175" spans="1:8" ht="18" customHeight="1" x14ac:dyDescent="0.15">
      <c r="A175" s="95"/>
      <c r="B175" s="114"/>
      <c r="C175" s="117" t="s">
        <v>386</v>
      </c>
      <c r="D175" s="94"/>
      <c r="E175" s="123"/>
      <c r="F175" s="77"/>
      <c r="G175" s="78"/>
    </row>
    <row r="176" spans="1:8" ht="18" customHeight="1" x14ac:dyDescent="0.15">
      <c r="A176" s="95"/>
      <c r="B176" s="114"/>
      <c r="C176" s="117" t="s">
        <v>387</v>
      </c>
      <c r="D176" s="94"/>
      <c r="E176" s="123"/>
      <c r="F176" s="77"/>
      <c r="G176" s="78"/>
    </row>
    <row r="177" spans="1:8" ht="18" customHeight="1" x14ac:dyDescent="0.15">
      <c r="A177" s="95"/>
      <c r="B177" s="114"/>
      <c r="C177" s="117" t="s">
        <v>388</v>
      </c>
      <c r="D177" s="94"/>
      <c r="E177" s="123"/>
      <c r="F177" s="77"/>
      <c r="G177" s="78"/>
    </row>
    <row r="178" spans="1:8" ht="18" customHeight="1" x14ac:dyDescent="0.15">
      <c r="A178" s="95"/>
      <c r="B178" s="114"/>
      <c r="C178" s="117" t="s">
        <v>389</v>
      </c>
      <c r="D178" s="94"/>
      <c r="E178" s="123"/>
      <c r="F178" s="77"/>
      <c r="G178" s="78"/>
    </row>
    <row r="179" spans="1:8" ht="18" customHeight="1" x14ac:dyDescent="0.15">
      <c r="A179" s="95"/>
      <c r="B179" s="114"/>
      <c r="C179" s="117" t="s">
        <v>390</v>
      </c>
      <c r="D179" s="94"/>
      <c r="E179" s="123"/>
      <c r="F179" s="77"/>
      <c r="G179" s="78"/>
    </row>
    <row r="180" spans="1:8" ht="18" customHeight="1" x14ac:dyDescent="0.15">
      <c r="A180" s="95"/>
      <c r="B180" s="114"/>
      <c r="C180" s="117" t="s">
        <v>391</v>
      </c>
      <c r="D180" s="94" t="s">
        <v>211</v>
      </c>
      <c r="E180" s="123"/>
      <c r="F180" s="77"/>
      <c r="G180" s="78"/>
    </row>
    <row r="181" spans="1:8" ht="18" customHeight="1" x14ac:dyDescent="0.15">
      <c r="A181" s="95"/>
      <c r="B181" s="114"/>
      <c r="C181" s="117"/>
      <c r="D181" s="94"/>
      <c r="E181" s="123"/>
      <c r="F181" s="77"/>
      <c r="G181" s="78"/>
    </row>
    <row r="182" spans="1:8" ht="18" customHeight="1" x14ac:dyDescent="0.15">
      <c r="A182" s="95"/>
      <c r="B182" s="114"/>
      <c r="C182" s="117"/>
      <c r="D182" s="94"/>
      <c r="E182" s="123"/>
      <c r="F182" s="77"/>
      <c r="G182" s="78"/>
    </row>
    <row r="183" spans="1:8" ht="32.25" customHeight="1" x14ac:dyDescent="0.15">
      <c r="A183" s="95"/>
      <c r="B183" s="114" t="s">
        <v>222</v>
      </c>
      <c r="C183" s="117" t="s">
        <v>392</v>
      </c>
      <c r="D183" s="94" t="s">
        <v>338</v>
      </c>
      <c r="E183" s="123">
        <v>12</v>
      </c>
      <c r="F183" s="35">
        <v>244</v>
      </c>
      <c r="G183" s="35">
        <f>F183*E183</f>
        <v>2928</v>
      </c>
    </row>
    <row r="184" spans="1:8" ht="32.25" customHeight="1" x14ac:dyDescent="0.15">
      <c r="A184" s="95"/>
      <c r="B184" s="114" t="s">
        <v>224</v>
      </c>
      <c r="C184" s="143" t="s">
        <v>393</v>
      </c>
      <c r="D184" s="94" t="s">
        <v>338</v>
      </c>
      <c r="E184" s="123">
        <v>38</v>
      </c>
      <c r="F184" s="35">
        <v>215</v>
      </c>
      <c r="G184" s="35">
        <f>F184*E184</f>
        <v>8170</v>
      </c>
    </row>
    <row r="185" spans="1:8" ht="37.5" customHeight="1" x14ac:dyDescent="0.15">
      <c r="A185" s="95"/>
      <c r="B185" s="114" t="s">
        <v>226</v>
      </c>
      <c r="C185" s="117" t="s">
        <v>394</v>
      </c>
      <c r="D185" s="94" t="s">
        <v>338</v>
      </c>
      <c r="E185" s="123">
        <v>4</v>
      </c>
      <c r="F185" s="35">
        <v>195</v>
      </c>
      <c r="G185" s="35">
        <f>F185*E185</f>
        <v>780</v>
      </c>
    </row>
    <row r="186" spans="1:8" ht="17.25" customHeight="1" x14ac:dyDescent="0.15">
      <c r="A186" s="95"/>
      <c r="B186" s="114"/>
      <c r="C186" s="117"/>
      <c r="D186" s="94"/>
      <c r="E186" s="123"/>
      <c r="F186" s="77"/>
      <c r="G186" s="78"/>
    </row>
    <row r="187" spans="1:8" ht="15" customHeight="1" x14ac:dyDescent="0.15">
      <c r="A187" s="95"/>
      <c r="B187" s="114"/>
      <c r="C187" s="117"/>
      <c r="D187" s="94"/>
      <c r="E187" s="123"/>
      <c r="F187" s="77"/>
      <c r="G187" s="78"/>
    </row>
    <row r="188" spans="1:8" ht="15" customHeight="1" x14ac:dyDescent="0.15">
      <c r="A188" s="95"/>
      <c r="B188" s="114"/>
      <c r="C188" s="117"/>
      <c r="D188" s="94"/>
      <c r="E188" s="123"/>
      <c r="F188" s="77"/>
      <c r="G188" s="78"/>
    </row>
    <row r="189" spans="1:8" ht="15" customHeight="1" x14ac:dyDescent="0.15">
      <c r="A189" s="95"/>
      <c r="B189" s="114"/>
      <c r="C189" s="117"/>
      <c r="D189" s="94"/>
      <c r="E189" s="123"/>
      <c r="F189" s="77"/>
      <c r="G189" s="78"/>
    </row>
    <row r="190" spans="1:8" ht="15" customHeight="1" x14ac:dyDescent="0.15">
      <c r="A190" s="95"/>
      <c r="B190" s="114"/>
      <c r="C190" s="117"/>
      <c r="D190" s="94"/>
      <c r="E190" s="123"/>
      <c r="F190" s="77"/>
      <c r="G190" s="78"/>
    </row>
    <row r="191" spans="1:8" ht="15" customHeight="1" x14ac:dyDescent="0.15">
      <c r="A191" s="95"/>
      <c r="B191" s="114"/>
      <c r="C191" s="117"/>
      <c r="D191" s="94"/>
      <c r="E191" s="123"/>
      <c r="F191" s="77"/>
      <c r="G191" s="78"/>
    </row>
    <row r="192" spans="1:8" ht="15" customHeight="1" x14ac:dyDescent="0.15">
      <c r="A192" s="95"/>
      <c r="B192" s="114"/>
      <c r="C192" s="117"/>
      <c r="D192" s="94"/>
      <c r="E192" s="123"/>
      <c r="F192" s="77"/>
      <c r="G192" s="78"/>
    </row>
    <row r="193" spans="1:13" ht="15" customHeight="1" x14ac:dyDescent="0.15">
      <c r="A193" s="95"/>
      <c r="B193" s="114"/>
      <c r="C193" s="117"/>
      <c r="D193" s="94"/>
      <c r="E193" s="123"/>
      <c r="F193" s="77"/>
      <c r="G193" s="78"/>
    </row>
    <row r="194" spans="1:13" ht="24.95" customHeight="1" x14ac:dyDescent="0.15">
      <c r="A194" s="95"/>
      <c r="B194" s="114"/>
      <c r="C194" s="117"/>
      <c r="D194" s="94"/>
      <c r="E194" s="123"/>
      <c r="F194" s="77"/>
      <c r="G194" s="78"/>
    </row>
    <row r="195" spans="1:13" ht="24.95" customHeight="1" x14ac:dyDescent="0.15">
      <c r="A195" s="95"/>
      <c r="B195" s="114"/>
      <c r="C195" s="117"/>
      <c r="D195" s="94"/>
      <c r="E195" s="123"/>
      <c r="F195" s="77"/>
      <c r="G195" s="78"/>
    </row>
    <row r="196" spans="1:13" ht="24.95" customHeight="1" x14ac:dyDescent="0.15">
      <c r="A196" s="95"/>
      <c r="B196" s="125" t="s">
        <v>354</v>
      </c>
      <c r="C196" s="115" t="s">
        <v>395</v>
      </c>
      <c r="D196" s="94"/>
      <c r="E196" s="123"/>
      <c r="F196" s="77"/>
      <c r="G196" s="78"/>
    </row>
    <row r="197" spans="1:13" ht="24.95" customHeight="1" x14ac:dyDescent="0.15">
      <c r="A197" s="95"/>
      <c r="B197" s="125"/>
      <c r="C197" s="115" t="s">
        <v>396</v>
      </c>
      <c r="D197" s="94"/>
      <c r="E197" s="123"/>
      <c r="F197" s="77"/>
      <c r="G197" s="78"/>
    </row>
    <row r="198" spans="1:13" ht="24.95" customHeight="1" x14ac:dyDescent="0.15">
      <c r="A198" s="95"/>
      <c r="B198" s="125"/>
      <c r="C198" s="115" t="s">
        <v>397</v>
      </c>
      <c r="D198" s="94"/>
      <c r="E198" s="123"/>
      <c r="F198" s="77"/>
      <c r="G198" s="78"/>
    </row>
    <row r="199" spans="1:13" ht="24.95" customHeight="1" x14ac:dyDescent="0.15">
      <c r="A199" s="95"/>
      <c r="B199" s="125"/>
      <c r="C199" s="115" t="s">
        <v>398</v>
      </c>
      <c r="D199" s="94"/>
      <c r="E199" s="123"/>
      <c r="F199" s="77"/>
      <c r="G199" s="78"/>
    </row>
    <row r="200" spans="1:13" ht="24.95" customHeight="1" x14ac:dyDescent="0.15">
      <c r="A200" s="95"/>
      <c r="B200" s="125"/>
      <c r="C200" s="115" t="s">
        <v>385</v>
      </c>
      <c r="D200" s="94"/>
      <c r="E200" s="123"/>
      <c r="F200" s="77"/>
      <c r="G200" s="78"/>
    </row>
    <row r="201" spans="1:13" ht="24.95" customHeight="1" x14ac:dyDescent="0.15">
      <c r="A201" s="95"/>
      <c r="B201" s="125"/>
      <c r="C201" s="115" t="s">
        <v>399</v>
      </c>
      <c r="D201" s="94"/>
      <c r="E201" s="123"/>
      <c r="F201" s="77"/>
      <c r="G201" s="78"/>
    </row>
    <row r="202" spans="1:13" ht="24.95" customHeight="1" x14ac:dyDescent="0.15">
      <c r="A202" s="95"/>
      <c r="B202" s="125"/>
      <c r="C202" s="115"/>
      <c r="D202" s="94"/>
      <c r="E202" s="123"/>
      <c r="F202" s="77"/>
      <c r="G202" s="78"/>
    </row>
    <row r="203" spans="1:13" ht="72" x14ac:dyDescent="0.15">
      <c r="A203" s="95"/>
      <c r="B203" s="125"/>
      <c r="C203" s="126" t="s">
        <v>400</v>
      </c>
      <c r="D203" s="154" t="s">
        <v>211</v>
      </c>
      <c r="E203" s="123"/>
      <c r="F203" s="77"/>
      <c r="G203" s="78"/>
    </row>
    <row r="204" spans="1:13" ht="15.75" customHeight="1" x14ac:dyDescent="0.15">
      <c r="A204" s="95"/>
      <c r="B204" s="125"/>
      <c r="C204" s="115"/>
      <c r="D204" s="94"/>
      <c r="E204" s="123"/>
      <c r="F204" s="77"/>
      <c r="G204" s="78"/>
    </row>
    <row r="205" spans="1:13" ht="51.75" customHeight="1" x14ac:dyDescent="0.15">
      <c r="A205" s="95"/>
      <c r="B205" s="114" t="s">
        <v>237</v>
      </c>
      <c r="C205" s="155" t="s">
        <v>401</v>
      </c>
      <c r="D205" s="94" t="s">
        <v>338</v>
      </c>
      <c r="E205" s="123">
        <v>10</v>
      </c>
      <c r="F205" s="35">
        <v>376</v>
      </c>
      <c r="G205" s="35">
        <f>F205*E205</f>
        <v>3760</v>
      </c>
    </row>
    <row r="206" spans="1:13" ht="21" customHeight="1" x14ac:dyDescent="0.15">
      <c r="A206" s="95"/>
      <c r="B206" s="114"/>
      <c r="C206" s="117"/>
      <c r="D206" s="94"/>
      <c r="E206" s="123"/>
      <c r="F206" s="77"/>
      <c r="G206" s="78"/>
    </row>
    <row r="207" spans="1:13" ht="45" customHeight="1" x14ac:dyDescent="0.15">
      <c r="A207" s="95"/>
      <c r="B207" s="114" t="s">
        <v>239</v>
      </c>
      <c r="C207" s="155" t="s">
        <v>402</v>
      </c>
      <c r="D207" s="94" t="s">
        <v>338</v>
      </c>
      <c r="E207" s="123">
        <v>10</v>
      </c>
      <c r="F207" s="35">
        <v>4169</v>
      </c>
      <c r="G207" s="35">
        <f>F207*E207</f>
        <v>41690</v>
      </c>
    </row>
    <row r="208" spans="1:13" ht="12.75" customHeight="1" x14ac:dyDescent="0.15">
      <c r="A208" s="95"/>
      <c r="B208" s="114"/>
      <c r="C208" s="155"/>
      <c r="D208" s="94"/>
      <c r="E208" s="123"/>
      <c r="F208" s="77"/>
      <c r="G208" s="78"/>
    </row>
    <row r="209" spans="1:12" ht="13.5" customHeight="1" x14ac:dyDescent="0.15">
      <c r="A209" s="95"/>
      <c r="B209" s="114"/>
      <c r="C209" s="117"/>
      <c r="D209" s="94"/>
      <c r="E209" s="123"/>
      <c r="F209" s="77"/>
      <c r="G209" s="78"/>
    </row>
    <row r="210" spans="1:12" ht="28.5" customHeight="1" x14ac:dyDescent="0.15">
      <c r="A210" s="95"/>
      <c r="B210" s="114" t="s">
        <v>241</v>
      </c>
      <c r="C210" s="155" t="s">
        <v>403</v>
      </c>
      <c r="D210" s="94" t="s">
        <v>145</v>
      </c>
      <c r="E210" s="123">
        <v>593</v>
      </c>
      <c r="F210" s="35">
        <v>65</v>
      </c>
      <c r="G210" s="35">
        <f>F210*E210</f>
        <v>38545</v>
      </c>
    </row>
    <row r="211" spans="1:12" ht="16.5" customHeight="1" x14ac:dyDescent="0.15">
      <c r="A211" s="95"/>
      <c r="B211" s="114"/>
      <c r="C211" s="117"/>
      <c r="D211" s="94"/>
      <c r="E211" s="123"/>
      <c r="F211" s="35"/>
      <c r="G211" s="35"/>
    </row>
    <row r="212" spans="1:12" ht="35.25" customHeight="1" x14ac:dyDescent="0.15">
      <c r="A212" s="95"/>
      <c r="B212" s="114" t="s">
        <v>243</v>
      </c>
      <c r="C212" s="155" t="s">
        <v>404</v>
      </c>
      <c r="D212" s="94" t="s">
        <v>145</v>
      </c>
      <c r="E212" s="123">
        <v>218</v>
      </c>
      <c r="F212" s="35">
        <v>84</v>
      </c>
      <c r="G212" s="35">
        <f>F212*E212</f>
        <v>18312</v>
      </c>
    </row>
    <row r="213" spans="1:12" ht="35.25" customHeight="1" x14ac:dyDescent="0.15">
      <c r="A213" s="95"/>
      <c r="B213" s="114"/>
      <c r="C213" s="155"/>
      <c r="D213" s="94"/>
      <c r="E213" s="123"/>
      <c r="F213" s="77"/>
      <c r="G213" s="78"/>
    </row>
    <row r="214" spans="1:12" ht="35.25" customHeight="1" x14ac:dyDescent="0.15">
      <c r="A214" s="95"/>
      <c r="B214" s="114" t="s">
        <v>245</v>
      </c>
      <c r="C214" s="155" t="s">
        <v>405</v>
      </c>
      <c r="D214" s="94" t="s">
        <v>123</v>
      </c>
      <c r="E214" s="123">
        <v>9</v>
      </c>
      <c r="F214" s="35">
        <v>65</v>
      </c>
      <c r="G214" s="35">
        <f>F214*E214</f>
        <v>585</v>
      </c>
    </row>
    <row r="215" spans="1:12" ht="15" customHeight="1" x14ac:dyDescent="0.15">
      <c r="A215" s="95"/>
      <c r="B215" s="114"/>
      <c r="C215" s="117"/>
      <c r="D215" s="94"/>
      <c r="E215" s="123"/>
      <c r="F215" s="77"/>
      <c r="G215" s="78"/>
    </row>
    <row r="216" spans="1:12" ht="15" customHeight="1" x14ac:dyDescent="0.15">
      <c r="A216" s="95"/>
      <c r="B216" s="114"/>
      <c r="C216" s="156"/>
      <c r="D216" s="157"/>
      <c r="E216" s="123"/>
      <c r="F216" s="77"/>
      <c r="G216" s="78"/>
    </row>
    <row r="217" spans="1:12" ht="15" customHeight="1" x14ac:dyDescent="0.15">
      <c r="A217" s="95"/>
      <c r="B217" s="114"/>
      <c r="C217" s="117"/>
      <c r="D217" s="94"/>
      <c r="E217" s="123"/>
      <c r="F217" s="77"/>
      <c r="G217" s="78"/>
    </row>
    <row r="218" spans="1:12" ht="15" customHeight="1" x14ac:dyDescent="0.15">
      <c r="A218" s="95"/>
      <c r="B218" s="118" t="s">
        <v>173</v>
      </c>
      <c r="C218" s="119" t="s">
        <v>406</v>
      </c>
      <c r="D218" s="94"/>
      <c r="E218" s="123"/>
      <c r="F218" s="77"/>
      <c r="G218" s="78"/>
    </row>
    <row r="219" spans="1:12" ht="15" customHeight="1" x14ac:dyDescent="0.15">
      <c r="A219" s="95"/>
      <c r="B219" s="114"/>
      <c r="C219" s="117" t="s">
        <v>407</v>
      </c>
      <c r="D219" s="94"/>
      <c r="E219" s="123"/>
      <c r="F219" s="77"/>
      <c r="G219" s="78"/>
    </row>
    <row r="220" spans="1:12" ht="15" customHeight="1" x14ac:dyDescent="0.15">
      <c r="A220" s="95"/>
      <c r="B220" s="114"/>
      <c r="C220" s="117" t="s">
        <v>408</v>
      </c>
      <c r="D220" s="94"/>
      <c r="E220" s="123"/>
      <c r="F220" s="77"/>
      <c r="G220" s="78"/>
    </row>
    <row r="221" spans="1:12" ht="15" customHeight="1" x14ac:dyDescent="0.15">
      <c r="A221" s="95"/>
      <c r="B221" s="114"/>
      <c r="C221" s="117" t="s">
        <v>409</v>
      </c>
      <c r="D221" s="94"/>
      <c r="E221" s="123"/>
      <c r="F221" s="77"/>
      <c r="G221" s="78"/>
    </row>
    <row r="222" spans="1:12" ht="15" customHeight="1" x14ac:dyDescent="0.15">
      <c r="A222" s="95"/>
      <c r="B222" s="114"/>
      <c r="C222" s="117" t="s">
        <v>410</v>
      </c>
      <c r="D222" s="94"/>
      <c r="E222" s="123"/>
      <c r="F222" s="77"/>
      <c r="G222" s="78"/>
    </row>
    <row r="223" spans="1:12" ht="15" customHeight="1" x14ac:dyDescent="0.15">
      <c r="A223" s="95"/>
      <c r="B223" s="114"/>
      <c r="C223" s="117" t="s">
        <v>411</v>
      </c>
      <c r="D223" s="94" t="s">
        <v>211</v>
      </c>
      <c r="E223" s="123"/>
      <c r="F223" s="77"/>
      <c r="G223" s="78"/>
    </row>
    <row r="224" spans="1:12" ht="15" customHeight="1" x14ac:dyDescent="0.15">
      <c r="A224" s="95"/>
      <c r="B224" s="114"/>
      <c r="C224" s="117"/>
      <c r="D224" s="94"/>
      <c r="E224" s="123"/>
      <c r="F224" s="77"/>
      <c r="G224" s="78"/>
    </row>
    <row r="225" spans="1:10" ht="15" customHeight="1" x14ac:dyDescent="0.15">
      <c r="A225" s="95"/>
      <c r="B225" s="114"/>
      <c r="C225" s="117"/>
      <c r="D225" s="94"/>
      <c r="E225" s="123"/>
      <c r="F225" s="77"/>
      <c r="G225" s="78"/>
    </row>
    <row r="226" spans="1:10" ht="15" customHeight="1" x14ac:dyDescent="0.15">
      <c r="A226" s="95"/>
      <c r="B226" s="125"/>
      <c r="C226" s="115"/>
      <c r="D226" s="94"/>
      <c r="E226" s="123"/>
      <c r="F226" s="77"/>
      <c r="G226" s="78"/>
    </row>
    <row r="227" spans="1:10" ht="12.75" customHeight="1" x14ac:dyDescent="0.15">
      <c r="A227" s="95"/>
      <c r="B227" s="125" t="s">
        <v>348</v>
      </c>
      <c r="C227" s="115" t="s">
        <v>412</v>
      </c>
      <c r="D227" s="94"/>
      <c r="E227" s="123"/>
      <c r="F227" s="77"/>
      <c r="G227" s="78"/>
    </row>
    <row r="228" spans="1:10" ht="17.25" customHeight="1" x14ac:dyDescent="0.15">
      <c r="A228" s="95"/>
      <c r="B228" s="114"/>
      <c r="C228" s="117"/>
      <c r="D228" s="94"/>
      <c r="E228" s="123"/>
      <c r="F228" s="77"/>
      <c r="G228" s="78"/>
    </row>
    <row r="229" spans="1:10" ht="84.75" customHeight="1" x14ac:dyDescent="0.15">
      <c r="A229" s="95"/>
      <c r="B229" s="114"/>
      <c r="C229" s="158" t="s">
        <v>413</v>
      </c>
      <c r="D229" s="94"/>
      <c r="E229" s="123"/>
      <c r="F229" s="77"/>
      <c r="G229" s="78"/>
    </row>
    <row r="230" spans="1:10" ht="11.25" customHeight="1" x14ac:dyDescent="0.15">
      <c r="A230" s="95"/>
      <c r="B230" s="114"/>
      <c r="C230" s="117"/>
      <c r="D230" s="94"/>
      <c r="E230" s="123"/>
      <c r="F230" s="77"/>
      <c r="G230" s="78"/>
    </row>
    <row r="231" spans="1:10" ht="39.950000000000003" customHeight="1" x14ac:dyDescent="0.15">
      <c r="A231" s="95"/>
      <c r="B231" s="114" t="s">
        <v>222</v>
      </c>
      <c r="C231" s="159" t="s">
        <v>414</v>
      </c>
      <c r="D231" s="94" t="s">
        <v>338</v>
      </c>
      <c r="E231" s="123">
        <v>1</v>
      </c>
      <c r="F231" s="35">
        <v>20891</v>
      </c>
      <c r="G231" s="35">
        <f>F231*E231</f>
        <v>20891</v>
      </c>
    </row>
    <row r="232" spans="1:10" ht="39.950000000000003" customHeight="1" x14ac:dyDescent="0.15">
      <c r="A232" s="95"/>
      <c r="B232" s="114" t="s">
        <v>224</v>
      </c>
      <c r="C232" s="159" t="s">
        <v>415</v>
      </c>
      <c r="D232" s="94" t="s">
        <v>338</v>
      </c>
      <c r="E232" s="123">
        <v>5</v>
      </c>
      <c r="F232" s="35">
        <v>2441</v>
      </c>
      <c r="G232" s="35">
        <f>F232*E232</f>
        <v>12205</v>
      </c>
    </row>
    <row r="233" spans="1:10" ht="39.950000000000003" customHeight="1" x14ac:dyDescent="0.15">
      <c r="A233" s="95"/>
      <c r="B233" s="114" t="s">
        <v>226</v>
      </c>
      <c r="C233" s="160" t="s">
        <v>416</v>
      </c>
      <c r="D233" s="94" t="s">
        <v>338</v>
      </c>
      <c r="E233" s="123">
        <v>1</v>
      </c>
      <c r="F233" s="35">
        <v>1171</v>
      </c>
      <c r="G233" s="35">
        <f>F233*E233</f>
        <v>1171</v>
      </c>
    </row>
    <row r="234" spans="1:10" ht="39.950000000000003" customHeight="1" x14ac:dyDescent="0.15">
      <c r="A234" s="95"/>
      <c r="B234" s="114" t="s">
        <v>228</v>
      </c>
      <c r="C234" s="160" t="s">
        <v>417</v>
      </c>
      <c r="D234" s="94" t="s">
        <v>338</v>
      </c>
      <c r="E234" s="123">
        <v>13</v>
      </c>
      <c r="F234" s="35">
        <v>2441</v>
      </c>
      <c r="G234" s="35">
        <f>F234*E234</f>
        <v>31733</v>
      </c>
    </row>
    <row r="235" spans="1:10" ht="39.950000000000003" customHeight="1" x14ac:dyDescent="0.15">
      <c r="A235" s="95"/>
      <c r="B235" s="114" t="s">
        <v>230</v>
      </c>
      <c r="C235" s="159" t="s">
        <v>418</v>
      </c>
      <c r="D235" s="94" t="s">
        <v>145</v>
      </c>
      <c r="E235" s="123">
        <v>840</v>
      </c>
      <c r="F235" s="35">
        <v>26</v>
      </c>
      <c r="G235" s="35">
        <f>F235*E235</f>
        <v>21840</v>
      </c>
    </row>
    <row r="236" spans="1:10" ht="39.950000000000003" customHeight="1" x14ac:dyDescent="0.15">
      <c r="A236" s="95"/>
      <c r="B236" s="114" t="s">
        <v>232</v>
      </c>
      <c r="C236" s="159" t="s">
        <v>419</v>
      </c>
      <c r="D236" s="94" t="s">
        <v>338</v>
      </c>
      <c r="E236" s="123">
        <v>1</v>
      </c>
      <c r="F236" s="35">
        <v>5467</v>
      </c>
      <c r="G236" s="35">
        <f>F236*E236</f>
        <v>5467</v>
      </c>
    </row>
    <row r="237" spans="1:10" ht="39.950000000000003" customHeight="1" x14ac:dyDescent="0.15">
      <c r="A237" s="95"/>
      <c r="B237" s="114"/>
      <c r="C237" s="159"/>
      <c r="D237" s="94"/>
      <c r="E237" s="123"/>
      <c r="F237" s="77"/>
      <c r="G237" s="78"/>
    </row>
    <row r="238" spans="1:10" ht="15" customHeight="1" thickBot="1" x14ac:dyDescent="0.2">
      <c r="A238" s="95"/>
      <c r="B238" s="114"/>
      <c r="C238" s="159"/>
      <c r="D238" s="94"/>
      <c r="E238" s="123"/>
      <c r="F238" s="77"/>
      <c r="G238" s="78"/>
    </row>
    <row r="239" spans="1:10" ht="15" customHeight="1" thickBot="1" x14ac:dyDescent="0.2">
      <c r="A239" s="43" t="s">
        <v>420</v>
      </c>
      <c r="B239" s="44"/>
      <c r="C239" s="161"/>
      <c r="D239" s="46"/>
      <c r="E239" s="162"/>
      <c r="F239" s="47"/>
      <c r="G239" s="48">
        <f>SUM(G33:G238)</f>
        <v>656812</v>
      </c>
    </row>
    <row r="240" spans="1:10" ht="12.75" x14ac:dyDescent="0.15"/>
    <row r="241" spans="8:8" ht="12.75" x14ac:dyDescent="0.15"/>
    <row r="242" spans="8:8" ht="12.75" x14ac:dyDescent="0.15"/>
    <row r="243" spans="8:8" ht="15" customHeight="1" x14ac:dyDescent="0.15"/>
    <row r="244" spans="8:8" ht="12.75" x14ac:dyDescent="0.15"/>
    <row r="245" spans="8:8" ht="12.75" x14ac:dyDescent="0.15"/>
    <row r="246" spans="8:8" ht="15" customHeight="1" x14ac:dyDescent="0.15"/>
    <row r="247" spans="8:8" ht="12.75" x14ac:dyDescent="0.15"/>
    <row r="248" spans="8:8" ht="12.75" x14ac:dyDescent="0.15"/>
    <row r="249" spans="8:8" ht="15" customHeight="1" x14ac:dyDescent="0.15"/>
    <row r="250" spans="8:8" ht="15" customHeight="1" x14ac:dyDescent="0.15"/>
  </sheetData>
  <sheetProtection selectLockedCells="1"/>
  <mergeCells count="2">
    <mergeCell ref="C1:D1"/>
    <mergeCell ref="A6:B6"/>
  </mergeCells>
  <printOptions horizontalCentered="1"/>
  <pageMargins left="0.25" right="0.25" top="0.75" bottom="0.75" header="0.3" footer="0.3"/>
  <pageSetup paperSize="9" scale="90" fitToHeight="0" orientation="portrait" r:id="rId1"/>
  <headerFooter>
    <oddFooter>&amp;RPage &amp;P of &amp;N</oddFooter>
  </headerFooter>
  <rowBreaks count="6" manualBreakCount="6">
    <brk id="42" max="6" man="1"/>
    <brk id="91" max="6" man="1"/>
    <brk id="118" max="6" man="1"/>
    <brk id="160" max="6" man="1"/>
    <brk id="192" max="6" man="1"/>
    <brk id="215"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96A6-2FE7-43E6-88A4-D7BED81A7319}">
  <sheetPr>
    <pageSetUpPr fitToPage="1"/>
  </sheetPr>
  <dimension ref="A1:M154"/>
  <sheetViews>
    <sheetView showGridLines="0" view="pageBreakPreview" zoomScaleSheetLayoutView="100" workbookViewId="0">
      <pane ySplit="6" topLeftCell="A133" activePane="bottomLeft" state="frozen"/>
      <selection activeCell="E23" sqref="E23"/>
      <selection pane="bottomLeft" activeCell="F44" sqref="F44"/>
    </sheetView>
  </sheetViews>
  <sheetFormatPr defaultColWidth="9.16796875" defaultRowHeight="15" customHeight="1" x14ac:dyDescent="0.15"/>
  <cols>
    <col min="1" max="1" width="5.66015625" style="83" customWidth="1"/>
    <col min="2" max="2" width="5.66015625" style="109" customWidth="1"/>
    <col min="3" max="3" width="66.48046875" style="113" customWidth="1"/>
    <col min="4" max="4" width="7.55078125" style="110" customWidth="1"/>
    <col min="5" max="5" width="8.62890625" style="109" customWidth="1"/>
    <col min="6" max="6" width="10.515625" style="111" customWidth="1"/>
    <col min="7" max="7" width="11.73046875" style="111" customWidth="1"/>
    <col min="8" max="16384" width="9.16796875" style="83"/>
  </cols>
  <sheetData>
    <row r="1" spans="1:8" customFormat="1" ht="12.75" x14ac:dyDescent="0.15">
      <c r="A1" s="1" t="s">
        <v>0</v>
      </c>
      <c r="B1" s="1"/>
      <c r="C1" s="250" t="s">
        <v>1</v>
      </c>
      <c r="D1" s="250"/>
      <c r="E1" s="2"/>
      <c r="F1" s="3"/>
      <c r="G1" s="3"/>
    </row>
    <row r="2" spans="1:8" customFormat="1" ht="12.75" x14ac:dyDescent="0.15">
      <c r="A2" s="1" t="s">
        <v>2</v>
      </c>
      <c r="B2" s="1"/>
      <c r="C2" s="80" t="s">
        <v>3</v>
      </c>
      <c r="D2" s="8"/>
      <c r="E2" s="5"/>
      <c r="F2" s="3"/>
      <c r="G2" s="3"/>
    </row>
    <row r="3" spans="1:8" ht="15" customHeight="1" x14ac:dyDescent="0.15">
      <c r="A3" s="6" t="s">
        <v>4</v>
      </c>
      <c r="B3" s="6"/>
      <c r="C3" s="6"/>
      <c r="D3" s="82"/>
      <c r="E3" s="8"/>
      <c r="F3" s="9"/>
      <c r="G3" s="9"/>
    </row>
    <row r="4" spans="1:8" ht="15" customHeight="1" x14ac:dyDescent="0.15">
      <c r="A4" s="6" t="s">
        <v>5</v>
      </c>
      <c r="B4" s="6"/>
      <c r="C4" s="6" t="s">
        <v>421</v>
      </c>
      <c r="D4" s="84"/>
      <c r="E4" s="7"/>
      <c r="F4" s="9"/>
      <c r="G4" s="9"/>
    </row>
    <row r="5" spans="1:8" ht="15" customHeight="1" thickBot="1" x14ac:dyDescent="0.2">
      <c r="A5" s="7"/>
      <c r="B5" s="7"/>
      <c r="C5" s="6"/>
      <c r="D5" s="84"/>
      <c r="E5" s="7"/>
      <c r="F5" s="9"/>
      <c r="G5" s="9"/>
    </row>
    <row r="6" spans="1:8" ht="15" customHeight="1" thickBot="1" x14ac:dyDescent="0.2">
      <c r="A6" s="235" t="s">
        <v>7</v>
      </c>
      <c r="B6" s="251"/>
      <c r="C6" s="12" t="s">
        <v>8</v>
      </c>
      <c r="D6" s="12" t="s">
        <v>9</v>
      </c>
      <c r="E6" s="13" t="s">
        <v>10</v>
      </c>
      <c r="F6" s="13" t="s">
        <v>11</v>
      </c>
      <c r="G6" s="14" t="s">
        <v>12</v>
      </c>
    </row>
    <row r="7" spans="1:8" ht="15" customHeight="1" x14ac:dyDescent="0.15">
      <c r="A7" s="112"/>
      <c r="B7" s="73"/>
      <c r="D7" s="75"/>
      <c r="E7" s="76"/>
      <c r="F7" s="77"/>
      <c r="G7" s="78"/>
    </row>
    <row r="8" spans="1:8" ht="12.75" x14ac:dyDescent="0.15">
      <c r="A8" s="87"/>
      <c r="B8" s="114"/>
      <c r="C8" s="115" t="s">
        <v>422</v>
      </c>
      <c r="D8" s="94"/>
      <c r="E8" s="116"/>
      <c r="F8" s="77"/>
      <c r="G8" s="78"/>
    </row>
    <row r="9" spans="1:8" ht="12.75" x14ac:dyDescent="0.15">
      <c r="A9" s="95"/>
      <c r="B9" s="114"/>
      <c r="C9" s="117"/>
      <c r="D9" s="94"/>
      <c r="E9" s="116"/>
      <c r="F9" s="77"/>
      <c r="G9" s="78"/>
    </row>
    <row r="10" spans="1:8" ht="12.75" x14ac:dyDescent="0.15">
      <c r="A10" s="87"/>
      <c r="B10" s="114"/>
      <c r="C10" s="117" t="s">
        <v>423</v>
      </c>
      <c r="D10" s="94"/>
      <c r="E10" s="116"/>
      <c r="F10" s="77"/>
      <c r="G10" s="78"/>
    </row>
    <row r="11" spans="1:8" ht="93" x14ac:dyDescent="0.15">
      <c r="A11" s="95"/>
      <c r="B11" s="163" t="s">
        <v>424</v>
      </c>
      <c r="C11" s="143" t="s">
        <v>425</v>
      </c>
      <c r="D11" s="164"/>
      <c r="E11" s="165"/>
      <c r="F11" s="163"/>
      <c r="G11" s="78"/>
    </row>
    <row r="12" spans="1:8" ht="15" customHeight="1" x14ac:dyDescent="0.15">
      <c r="A12" s="95"/>
      <c r="B12" s="122" t="s">
        <v>426</v>
      </c>
      <c r="C12" s="122" t="s">
        <v>427</v>
      </c>
      <c r="D12" s="122" t="s">
        <v>428</v>
      </c>
      <c r="E12" s="122">
        <v>1</v>
      </c>
      <c r="F12" s="35">
        <v>7000</v>
      </c>
      <c r="G12" s="35">
        <f>F12*E12</f>
        <v>7000</v>
      </c>
    </row>
    <row r="13" spans="1:8" ht="13.5" x14ac:dyDescent="0.15">
      <c r="A13" s="87"/>
      <c r="B13" s="122" t="s">
        <v>429</v>
      </c>
      <c r="C13" s="122" t="s">
        <v>430</v>
      </c>
      <c r="D13" s="122" t="s">
        <v>428</v>
      </c>
      <c r="E13" s="122">
        <v>1</v>
      </c>
      <c r="F13" s="35">
        <v>813</v>
      </c>
      <c r="G13" s="35">
        <f>F13*E13</f>
        <v>813</v>
      </c>
    </row>
    <row r="14" spans="1:8" ht="13.5" x14ac:dyDescent="0.15">
      <c r="A14" s="95"/>
      <c r="B14" s="122" t="s">
        <v>431</v>
      </c>
      <c r="C14" s="122" t="s">
        <v>432</v>
      </c>
      <c r="D14" s="122" t="s">
        <v>428</v>
      </c>
      <c r="E14" s="122">
        <v>1</v>
      </c>
      <c r="F14" s="35">
        <v>813</v>
      </c>
      <c r="G14" s="35">
        <f>F14*E14</f>
        <v>813</v>
      </c>
    </row>
    <row r="15" spans="1:8" ht="15" customHeight="1" x14ac:dyDescent="0.15">
      <c r="A15" s="95"/>
      <c r="B15" s="122" t="s">
        <v>433</v>
      </c>
      <c r="C15" s="122" t="s">
        <v>434</v>
      </c>
      <c r="D15" s="122" t="s">
        <v>428</v>
      </c>
      <c r="E15" s="122">
        <v>2</v>
      </c>
      <c r="F15" s="35">
        <v>482</v>
      </c>
      <c r="G15" s="35">
        <f>F15*E15</f>
        <v>964</v>
      </c>
    </row>
    <row r="16" spans="1:8" ht="13.5" x14ac:dyDescent="0.15">
      <c r="A16" s="95"/>
      <c r="B16" s="122" t="s">
        <v>435</v>
      </c>
      <c r="C16" s="122" t="s">
        <v>436</v>
      </c>
      <c r="D16" s="122" t="s">
        <v>428</v>
      </c>
      <c r="E16" s="122">
        <v>1</v>
      </c>
      <c r="F16" s="35">
        <v>482</v>
      </c>
      <c r="G16" s="35">
        <f>F16*E16</f>
        <v>482</v>
      </c>
    </row>
    <row r="17" spans="1:8" ht="13.5" x14ac:dyDescent="0.15">
      <c r="A17" s="95"/>
      <c r="B17" s="122" t="s">
        <v>437</v>
      </c>
      <c r="C17" s="122" t="s">
        <v>438</v>
      </c>
      <c r="D17" s="122" t="s">
        <v>428</v>
      </c>
      <c r="E17" s="122">
        <v>6</v>
      </c>
      <c r="F17" s="35">
        <v>813</v>
      </c>
      <c r="G17" s="35">
        <f>F17*E17</f>
        <v>4878</v>
      </c>
    </row>
    <row r="18" spans="1:8" ht="15" customHeight="1" x14ac:dyDescent="0.15">
      <c r="A18" s="95"/>
      <c r="B18" s="122" t="s">
        <v>439</v>
      </c>
      <c r="C18" s="122" t="s">
        <v>440</v>
      </c>
      <c r="D18" s="122" t="s">
        <v>428</v>
      </c>
      <c r="E18" s="122">
        <v>30</v>
      </c>
      <c r="F18" s="35">
        <v>1000</v>
      </c>
      <c r="G18" s="35">
        <f>F18*E18</f>
        <v>30000</v>
      </c>
    </row>
    <row r="19" spans="1:8" ht="15" customHeight="1" x14ac:dyDescent="0.15">
      <c r="A19" s="95"/>
      <c r="B19" s="122" t="s">
        <v>441</v>
      </c>
      <c r="C19" s="122" t="s">
        <v>442</v>
      </c>
      <c r="D19" s="122" t="s">
        <v>428</v>
      </c>
      <c r="E19" s="122">
        <v>0</v>
      </c>
      <c r="F19" s="35">
        <v>2250</v>
      </c>
      <c r="G19" s="35">
        <f>F19*E19</f>
        <v>0</v>
      </c>
    </row>
    <row r="20" spans="1:8" ht="15" customHeight="1" x14ac:dyDescent="0.15">
      <c r="A20" s="87"/>
      <c r="B20" s="122" t="s">
        <v>443</v>
      </c>
      <c r="C20" s="122" t="s">
        <v>444</v>
      </c>
      <c r="D20" s="122" t="s">
        <v>428</v>
      </c>
      <c r="E20" s="122">
        <v>24</v>
      </c>
      <c r="F20" s="35">
        <v>2063</v>
      </c>
      <c r="G20" s="35">
        <f>F20*E20</f>
        <v>49512</v>
      </c>
    </row>
    <row r="21" spans="1:8" ht="15" customHeight="1" x14ac:dyDescent="0.15">
      <c r="A21" s="87"/>
      <c r="B21" s="122" t="s">
        <v>445</v>
      </c>
      <c r="C21" s="122" t="s">
        <v>446</v>
      </c>
      <c r="D21" s="122" t="s">
        <v>428</v>
      </c>
      <c r="E21" s="122">
        <v>24</v>
      </c>
      <c r="F21" s="35">
        <v>563</v>
      </c>
      <c r="G21" s="35">
        <f>F21*E21</f>
        <v>13512</v>
      </c>
    </row>
    <row r="22" spans="1:8" ht="13.5" x14ac:dyDescent="0.15">
      <c r="A22" s="87"/>
      <c r="B22" s="122" t="s">
        <v>447</v>
      </c>
      <c r="C22" s="122" t="s">
        <v>448</v>
      </c>
      <c r="D22" s="122" t="s">
        <v>428</v>
      </c>
      <c r="E22" s="122">
        <v>24</v>
      </c>
      <c r="F22" s="35">
        <v>563</v>
      </c>
      <c r="G22" s="35">
        <f>F22*E22</f>
        <v>13512</v>
      </c>
    </row>
    <row r="23" spans="1:8" ht="13.5" x14ac:dyDescent="0.15">
      <c r="A23" s="87"/>
      <c r="B23" s="122" t="s">
        <v>449</v>
      </c>
      <c r="C23" s="122" t="s">
        <v>450</v>
      </c>
      <c r="D23" s="122" t="s">
        <v>428</v>
      </c>
      <c r="E23" s="122">
        <v>48</v>
      </c>
      <c r="F23" s="35">
        <v>282</v>
      </c>
      <c r="G23" s="35">
        <f>F23*E23</f>
        <v>13536</v>
      </c>
    </row>
    <row r="24" spans="1:8" ht="39.75" customHeight="1" x14ac:dyDescent="0.15">
      <c r="A24" s="95"/>
      <c r="B24" s="122" t="s">
        <v>451</v>
      </c>
      <c r="C24" s="142" t="s">
        <v>452</v>
      </c>
      <c r="D24" s="122" t="s">
        <v>428</v>
      </c>
      <c r="E24" s="122">
        <v>26</v>
      </c>
      <c r="F24" s="35">
        <v>482</v>
      </c>
      <c r="G24" s="35">
        <f>F24*E24</f>
        <v>12532</v>
      </c>
    </row>
    <row r="25" spans="1:8" ht="37.5" customHeight="1" x14ac:dyDescent="0.15">
      <c r="A25" s="87"/>
      <c r="B25" s="122" t="s">
        <v>453</v>
      </c>
      <c r="C25" s="142" t="s">
        <v>454</v>
      </c>
      <c r="D25" s="122" t="s">
        <v>428</v>
      </c>
      <c r="E25" s="122">
        <v>0</v>
      </c>
      <c r="F25" s="35">
        <v>482</v>
      </c>
      <c r="G25" s="35">
        <f>F25*E25</f>
        <v>0</v>
      </c>
    </row>
    <row r="26" spans="1:8" ht="15" customHeight="1" x14ac:dyDescent="0.15">
      <c r="A26" s="95"/>
      <c r="B26" s="122" t="s">
        <v>455</v>
      </c>
      <c r="C26" s="122" t="s">
        <v>456</v>
      </c>
      <c r="D26" s="122" t="s">
        <v>123</v>
      </c>
      <c r="E26" s="122">
        <v>1</v>
      </c>
      <c r="F26" s="35">
        <v>3688</v>
      </c>
      <c r="G26" s="35">
        <f>F26*E26</f>
        <v>3688</v>
      </c>
    </row>
    <row r="27" spans="1:8" ht="15" customHeight="1" x14ac:dyDescent="0.15">
      <c r="A27" s="95"/>
      <c r="B27" s="122" t="s">
        <v>457</v>
      </c>
      <c r="C27" s="122" t="s">
        <v>458</v>
      </c>
      <c r="D27" s="122" t="s">
        <v>123</v>
      </c>
      <c r="E27" s="122">
        <v>0</v>
      </c>
      <c r="F27" s="35">
        <v>3438</v>
      </c>
      <c r="G27" s="35">
        <f>F27*E27</f>
        <v>0</v>
      </c>
    </row>
    <row r="28" spans="1:8" ht="15" customHeight="1" x14ac:dyDescent="0.15">
      <c r="A28" s="95"/>
      <c r="B28" s="121"/>
      <c r="C28" s="122"/>
      <c r="D28" s="120"/>
      <c r="E28" s="123"/>
      <c r="F28" s="77"/>
      <c r="G28" s="78"/>
    </row>
    <row r="29" spans="1:8" ht="12.75" x14ac:dyDescent="0.15">
      <c r="A29" s="95"/>
      <c r="B29" s="121"/>
      <c r="C29" s="122"/>
      <c r="D29" s="120"/>
      <c r="E29" s="124"/>
      <c r="F29" s="77"/>
      <c r="G29" s="78"/>
    </row>
    <row r="30" spans="1:8" ht="12.75" x14ac:dyDescent="0.15">
      <c r="A30" s="95"/>
      <c r="B30" s="125"/>
      <c r="C30" s="126"/>
      <c r="D30" s="120"/>
      <c r="E30" s="124"/>
      <c r="F30" s="77"/>
      <c r="G30" s="78"/>
    </row>
    <row r="31" spans="1:8" ht="12.75" x14ac:dyDescent="0.15">
      <c r="A31" s="95"/>
      <c r="B31" s="121"/>
      <c r="C31" s="122" t="s">
        <v>459</v>
      </c>
      <c r="D31" s="120"/>
      <c r="E31" s="124"/>
      <c r="F31" s="77"/>
      <c r="G31" s="78"/>
    </row>
    <row r="32" spans="1:8" ht="14.25" customHeight="1" x14ac:dyDescent="0.15">
      <c r="A32" s="95"/>
      <c r="B32" s="125"/>
      <c r="C32" s="122"/>
      <c r="D32" s="120"/>
      <c r="E32" s="124"/>
      <c r="F32" s="77"/>
      <c r="G32" s="78"/>
    </row>
    <row r="33" spans="1:13" ht="12.75" x14ac:dyDescent="0.15">
      <c r="A33" s="95"/>
      <c r="B33" s="252" t="s">
        <v>460</v>
      </c>
      <c r="C33" s="122" t="s">
        <v>461</v>
      </c>
      <c r="D33" s="120"/>
      <c r="E33" s="123"/>
      <c r="F33" s="77"/>
      <c r="G33" s="78"/>
    </row>
    <row r="34" spans="1:13" ht="15" customHeight="1" x14ac:dyDescent="0.15">
      <c r="A34" s="95"/>
      <c r="B34" s="252"/>
      <c r="C34" s="122" t="s">
        <v>462</v>
      </c>
      <c r="D34" s="120"/>
      <c r="E34" s="123"/>
      <c r="F34" s="77"/>
      <c r="G34" s="78"/>
    </row>
    <row r="35" spans="1:13" ht="17.100000000000001" customHeight="1" x14ac:dyDescent="0.15">
      <c r="A35" s="95"/>
      <c r="B35" s="252"/>
      <c r="C35" s="122" t="s">
        <v>463</v>
      </c>
      <c r="D35" s="120"/>
      <c r="E35" s="123"/>
      <c r="F35" s="77"/>
      <c r="G35" s="78"/>
    </row>
    <row r="36" spans="1:13" ht="17.100000000000001" customHeight="1" x14ac:dyDescent="0.15">
      <c r="A36" s="95"/>
      <c r="B36" s="252"/>
      <c r="C36" s="122" t="s">
        <v>464</v>
      </c>
      <c r="D36" s="120"/>
      <c r="E36" s="123"/>
      <c r="F36" s="77"/>
      <c r="G36" s="78"/>
    </row>
    <row r="37" spans="1:13" ht="17.100000000000001" customHeight="1" x14ac:dyDescent="0.15">
      <c r="A37" s="95"/>
      <c r="B37" s="252"/>
      <c r="C37" s="122" t="s">
        <v>465</v>
      </c>
      <c r="D37" s="120"/>
      <c r="E37" s="123"/>
      <c r="F37" s="77"/>
      <c r="G37" s="78"/>
    </row>
    <row r="38" spans="1:13" ht="17.100000000000001" customHeight="1" x14ac:dyDescent="0.15">
      <c r="A38" s="95"/>
      <c r="B38" s="252"/>
      <c r="C38" s="122" t="s">
        <v>466</v>
      </c>
      <c r="D38" s="120"/>
      <c r="E38" s="123"/>
      <c r="F38" s="77"/>
      <c r="G38" s="78"/>
    </row>
    <row r="39" spans="1:13" ht="17.100000000000001" customHeight="1" x14ac:dyDescent="0.15">
      <c r="A39" s="95"/>
      <c r="B39" s="252"/>
      <c r="C39" s="122" t="s">
        <v>467</v>
      </c>
      <c r="D39" s="120"/>
      <c r="E39" s="123"/>
      <c r="F39" s="77"/>
      <c r="G39" s="78"/>
    </row>
    <row r="40" spans="1:13" ht="17.100000000000001" customHeight="1" x14ac:dyDescent="0.15">
      <c r="A40" s="95"/>
      <c r="B40" s="252"/>
      <c r="C40" s="122" t="s">
        <v>468</v>
      </c>
      <c r="D40" s="120"/>
      <c r="E40" s="123"/>
      <c r="F40" s="77"/>
      <c r="G40" s="78"/>
    </row>
    <row r="41" spans="1:13" ht="17.100000000000001" customHeight="1" x14ac:dyDescent="0.15">
      <c r="A41" s="95"/>
      <c r="B41" s="121"/>
      <c r="C41" s="122"/>
      <c r="D41" s="120"/>
      <c r="E41" s="123"/>
      <c r="F41" s="77"/>
      <c r="G41" s="78"/>
    </row>
    <row r="42" spans="1:13" ht="17.100000000000001" customHeight="1" x14ac:dyDescent="0.15">
      <c r="A42" s="95"/>
      <c r="B42" s="121" t="s">
        <v>469</v>
      </c>
      <c r="C42" s="122" t="s">
        <v>470</v>
      </c>
      <c r="D42" s="120" t="s">
        <v>145</v>
      </c>
      <c r="E42" s="123">
        <v>326</v>
      </c>
      <c r="F42" s="35">
        <v>48</v>
      </c>
      <c r="G42" s="35">
        <f>F42*E42</f>
        <v>15648</v>
      </c>
    </row>
    <row r="43" spans="1:13" ht="17.100000000000001" customHeight="1" x14ac:dyDescent="0.15">
      <c r="A43" s="95"/>
      <c r="B43" s="121"/>
      <c r="C43" s="122"/>
      <c r="D43" s="120"/>
      <c r="E43" s="123"/>
      <c r="F43" s="77"/>
      <c r="G43" s="78"/>
    </row>
    <row r="44" spans="1:13" ht="17.100000000000001" customHeight="1" x14ac:dyDescent="0.15">
      <c r="A44" s="95"/>
      <c r="B44" s="121" t="s">
        <v>471</v>
      </c>
      <c r="C44" s="122" t="s">
        <v>472</v>
      </c>
      <c r="D44" s="120" t="s">
        <v>145</v>
      </c>
      <c r="E44" s="123">
        <v>0</v>
      </c>
      <c r="F44" s="35">
        <v>61</v>
      </c>
      <c r="G44" s="35">
        <f>F44*E44</f>
        <v>0</v>
      </c>
    </row>
    <row r="45" spans="1:13" ht="17.100000000000001" customHeight="1" x14ac:dyDescent="0.15">
      <c r="A45" s="95"/>
      <c r="B45" s="121"/>
      <c r="C45" s="122"/>
      <c r="D45" s="120"/>
      <c r="E45" s="123"/>
      <c r="F45" s="77"/>
      <c r="G45" s="78"/>
    </row>
    <row r="46" spans="1:13" ht="17.100000000000001" customHeight="1" x14ac:dyDescent="0.15">
      <c r="A46" s="95"/>
      <c r="B46" s="121" t="s">
        <v>473</v>
      </c>
      <c r="C46" s="122" t="s">
        <v>474</v>
      </c>
      <c r="D46" s="120" t="s">
        <v>145</v>
      </c>
      <c r="E46" s="123">
        <v>74</v>
      </c>
      <c r="F46" s="35">
        <v>73</v>
      </c>
      <c r="G46" s="35">
        <f>F46*E46</f>
        <v>5402</v>
      </c>
    </row>
    <row r="47" spans="1:13" ht="17.100000000000001" customHeight="1" x14ac:dyDescent="0.15">
      <c r="A47" s="95"/>
      <c r="B47" s="121"/>
      <c r="C47" s="122"/>
      <c r="D47" s="120"/>
      <c r="E47" s="123"/>
      <c r="F47" s="77"/>
      <c r="G47" s="78"/>
    </row>
    <row r="48" spans="1:13" ht="17.100000000000001" customHeight="1" x14ac:dyDescent="0.15">
      <c r="A48" s="95"/>
      <c r="B48" s="121" t="s">
        <v>475</v>
      </c>
      <c r="C48" s="122" t="s">
        <v>476</v>
      </c>
      <c r="D48" s="120" t="s">
        <v>145</v>
      </c>
      <c r="E48" s="123">
        <v>43</v>
      </c>
      <c r="F48" s="35">
        <v>108</v>
      </c>
      <c r="G48" s="35">
        <f>F48*E48</f>
        <v>4644</v>
      </c>
    </row>
    <row r="49" spans="1:13" ht="17.100000000000001" customHeight="1" x14ac:dyDescent="0.15">
      <c r="A49" s="95"/>
      <c r="B49" s="121"/>
      <c r="C49" s="122"/>
      <c r="D49" s="120"/>
      <c r="E49" s="123"/>
      <c r="F49" s="77"/>
      <c r="G49" s="78"/>
    </row>
    <row r="50" spans="1:13" ht="17.100000000000001" customHeight="1" x14ac:dyDescent="0.15">
      <c r="A50" s="95"/>
      <c r="B50" s="121" t="s">
        <v>477</v>
      </c>
      <c r="C50" s="122" t="s">
        <v>478</v>
      </c>
      <c r="D50" s="120" t="s">
        <v>145</v>
      </c>
      <c r="E50" s="123">
        <v>40</v>
      </c>
      <c r="F50" s="35">
        <v>144</v>
      </c>
      <c r="G50" s="35">
        <f>F50*E50</f>
        <v>5760</v>
      </c>
    </row>
    <row r="51" spans="1:13" ht="15" customHeight="1" x14ac:dyDescent="0.15">
      <c r="A51" s="95"/>
      <c r="B51" s="121"/>
      <c r="C51" s="122"/>
      <c r="D51" s="120"/>
      <c r="E51" s="123"/>
      <c r="F51" s="77"/>
      <c r="G51" s="78"/>
    </row>
    <row r="52" spans="1:13" ht="15" customHeight="1" x14ac:dyDescent="0.15">
      <c r="A52" s="95"/>
      <c r="B52" s="121" t="s">
        <v>479</v>
      </c>
      <c r="C52" s="122" t="s">
        <v>480</v>
      </c>
      <c r="D52" s="120" t="s">
        <v>145</v>
      </c>
      <c r="E52" s="123">
        <v>41</v>
      </c>
      <c r="F52" s="35">
        <v>186</v>
      </c>
      <c r="G52" s="35">
        <f>F52*E52</f>
        <v>7626</v>
      </c>
    </row>
    <row r="53" spans="1:13" ht="15" customHeight="1" x14ac:dyDescent="0.15">
      <c r="A53" s="95"/>
      <c r="B53" s="121"/>
      <c r="C53" s="122"/>
      <c r="D53" s="120"/>
      <c r="E53" s="123"/>
      <c r="F53" s="77"/>
      <c r="G53" s="78"/>
    </row>
    <row r="54" spans="1:13" ht="15" customHeight="1" x14ac:dyDescent="0.15">
      <c r="A54" s="95"/>
      <c r="B54" s="121" t="s">
        <v>481</v>
      </c>
      <c r="C54" s="122" t="s">
        <v>482</v>
      </c>
      <c r="D54" s="120" t="s">
        <v>145</v>
      </c>
      <c r="E54" s="123">
        <v>45</v>
      </c>
      <c r="F54" s="35">
        <v>253</v>
      </c>
      <c r="G54" s="35">
        <f>F54*E54</f>
        <v>11385</v>
      </c>
    </row>
    <row r="55" spans="1:13" ht="15" customHeight="1" x14ac:dyDescent="0.15">
      <c r="A55" s="95"/>
      <c r="B55" s="121"/>
      <c r="C55" s="122"/>
      <c r="D55" s="120"/>
      <c r="E55" s="123"/>
      <c r="F55" s="77"/>
      <c r="G55" s="78"/>
    </row>
    <row r="56" spans="1:13" ht="27" customHeight="1" x14ac:dyDescent="0.15">
      <c r="A56" s="95"/>
      <c r="B56" s="121"/>
      <c r="C56" s="93" t="s">
        <v>483</v>
      </c>
      <c r="D56" s="120"/>
      <c r="E56" s="123"/>
      <c r="F56" s="77"/>
      <c r="G56" s="78"/>
    </row>
    <row r="57" spans="1:13" ht="15" customHeight="1" x14ac:dyDescent="0.15">
      <c r="A57" s="95"/>
      <c r="B57" s="121"/>
      <c r="C57" s="122"/>
      <c r="D57" s="120"/>
      <c r="E57" s="123"/>
      <c r="F57" s="77"/>
      <c r="G57" s="78"/>
    </row>
    <row r="58" spans="1:13" ht="13.5" x14ac:dyDescent="0.15">
      <c r="A58" s="95"/>
      <c r="B58" s="121" t="s">
        <v>484</v>
      </c>
      <c r="C58" s="122" t="s">
        <v>485</v>
      </c>
      <c r="D58" s="120" t="s">
        <v>145</v>
      </c>
      <c r="E58" s="123">
        <v>94</v>
      </c>
      <c r="F58" s="35">
        <v>47</v>
      </c>
      <c r="G58" s="35">
        <f>F58*E58</f>
        <v>4418</v>
      </c>
    </row>
    <row r="59" spans="1:13" ht="12.75" x14ac:dyDescent="0.15">
      <c r="A59" s="95"/>
      <c r="B59" s="121"/>
      <c r="C59" s="122"/>
      <c r="D59" s="120"/>
      <c r="E59" s="123"/>
      <c r="F59" s="77"/>
      <c r="G59" s="78"/>
    </row>
    <row r="60" spans="1:13" ht="13.5" x14ac:dyDescent="0.15">
      <c r="A60" s="95"/>
      <c r="B60" s="121" t="s">
        <v>486</v>
      </c>
      <c r="C60" s="122" t="s">
        <v>487</v>
      </c>
      <c r="D60" s="120" t="s">
        <v>145</v>
      </c>
      <c r="E60" s="123">
        <v>20</v>
      </c>
      <c r="F60" s="35">
        <v>68</v>
      </c>
      <c r="G60" s="35">
        <f>F60*E60</f>
        <v>1360</v>
      </c>
    </row>
    <row r="61" spans="1:13" ht="12.75" x14ac:dyDescent="0.15">
      <c r="A61" s="95"/>
      <c r="B61" s="121"/>
      <c r="C61" s="122"/>
      <c r="D61" s="120"/>
      <c r="E61" s="123"/>
      <c r="F61" s="77"/>
      <c r="G61" s="78"/>
    </row>
    <row r="62" spans="1:13" ht="13.5" x14ac:dyDescent="0.15">
      <c r="A62" s="95"/>
      <c r="B62" s="121" t="s">
        <v>488</v>
      </c>
      <c r="C62" s="122" t="s">
        <v>489</v>
      </c>
      <c r="D62" s="120" t="s">
        <v>145</v>
      </c>
      <c r="E62" s="123">
        <v>51</v>
      </c>
      <c r="F62" s="35">
        <v>92</v>
      </c>
      <c r="G62" s="35">
        <f>F62*E62</f>
        <v>4692</v>
      </c>
    </row>
    <row r="63" spans="1:13" ht="12.75" x14ac:dyDescent="0.15">
      <c r="A63" s="95"/>
      <c r="B63" s="121"/>
      <c r="C63" s="122"/>
      <c r="D63" s="120"/>
      <c r="E63" s="123"/>
      <c r="F63" s="77"/>
      <c r="G63" s="78"/>
    </row>
    <row r="64" spans="1:13" ht="13.5" x14ac:dyDescent="0.15">
      <c r="A64" s="95"/>
      <c r="B64" s="121" t="s">
        <v>490</v>
      </c>
      <c r="C64" s="122" t="s">
        <v>491</v>
      </c>
      <c r="D64" s="120" t="s">
        <v>145</v>
      </c>
      <c r="E64" s="123">
        <v>78</v>
      </c>
      <c r="F64" s="35">
        <v>168</v>
      </c>
      <c r="G64" s="35">
        <f>F64*E64</f>
        <v>13104</v>
      </c>
    </row>
    <row r="65" spans="1:8" ht="15" customHeight="1" x14ac:dyDescent="0.15">
      <c r="A65" s="95"/>
      <c r="B65" s="121"/>
      <c r="C65" s="122"/>
      <c r="D65" s="120"/>
      <c r="E65" s="123"/>
      <c r="F65" s="77"/>
      <c r="G65" s="78"/>
    </row>
    <row r="66" spans="1:8" ht="13.5" x14ac:dyDescent="0.15">
      <c r="A66" s="95"/>
      <c r="B66" s="121" t="s">
        <v>492</v>
      </c>
      <c r="C66" s="122" t="s">
        <v>493</v>
      </c>
      <c r="D66" s="120" t="s">
        <v>145</v>
      </c>
      <c r="E66" s="123">
        <v>44</v>
      </c>
      <c r="F66" s="35">
        <v>47</v>
      </c>
      <c r="G66" s="35">
        <f>F66*E66</f>
        <v>2068</v>
      </c>
    </row>
    <row r="67" spans="1:8" ht="12.75" x14ac:dyDescent="0.15">
      <c r="A67" s="95"/>
      <c r="B67" s="121"/>
      <c r="C67" s="122"/>
      <c r="D67" s="120"/>
      <c r="E67" s="123"/>
      <c r="F67" s="77"/>
      <c r="G67" s="78"/>
    </row>
    <row r="68" spans="1:8" ht="12.75" x14ac:dyDescent="0.15">
      <c r="A68" s="95"/>
      <c r="B68" s="121"/>
      <c r="C68" s="122" t="s">
        <v>494</v>
      </c>
      <c r="D68" s="120"/>
      <c r="E68" s="123"/>
      <c r="F68" s="77"/>
      <c r="G68" s="78"/>
    </row>
    <row r="69" spans="1:8" ht="12.75" x14ac:dyDescent="0.15">
      <c r="A69" s="95"/>
      <c r="B69" s="121"/>
      <c r="C69" s="122"/>
      <c r="D69" s="120"/>
      <c r="E69" s="123"/>
      <c r="F69" s="77"/>
      <c r="G69" s="78"/>
    </row>
    <row r="70" spans="1:8" ht="15" customHeight="1" x14ac:dyDescent="0.15">
      <c r="A70" s="95"/>
      <c r="B70" s="121" t="s">
        <v>495</v>
      </c>
      <c r="C70" s="253" t="s">
        <v>496</v>
      </c>
      <c r="D70" s="120" t="s">
        <v>123</v>
      </c>
      <c r="E70" s="123">
        <v>1</v>
      </c>
      <c r="F70" s="35">
        <v>3125</v>
      </c>
      <c r="G70" s="35">
        <f>F70*E70</f>
        <v>3125</v>
      </c>
    </row>
    <row r="71" spans="1:8" ht="12.75" x14ac:dyDescent="0.15">
      <c r="A71" s="95"/>
      <c r="B71" s="121"/>
      <c r="C71" s="253"/>
      <c r="D71" s="120"/>
      <c r="E71" s="123"/>
      <c r="F71" s="77"/>
      <c r="G71" s="78"/>
    </row>
    <row r="72" spans="1:8" ht="12.75" x14ac:dyDescent="0.15">
      <c r="A72" s="95"/>
      <c r="B72" s="121"/>
      <c r="C72" s="122"/>
      <c r="D72" s="120"/>
      <c r="E72" s="123"/>
      <c r="F72" s="77"/>
      <c r="G72" s="78"/>
    </row>
    <row r="73" spans="1:8" ht="12.75" x14ac:dyDescent="0.15">
      <c r="A73" s="95"/>
      <c r="B73" s="121"/>
      <c r="C73" s="122" t="s">
        <v>497</v>
      </c>
      <c r="D73" s="120"/>
      <c r="E73" s="123"/>
      <c r="F73" s="77"/>
      <c r="G73" s="78"/>
    </row>
    <row r="74" spans="1:8" ht="12.75" customHeight="1" x14ac:dyDescent="0.15">
      <c r="A74" s="95"/>
      <c r="B74" s="121" t="s">
        <v>498</v>
      </c>
      <c r="C74" s="253" t="s">
        <v>499</v>
      </c>
      <c r="D74" s="120"/>
      <c r="E74" s="123"/>
      <c r="F74" s="77"/>
      <c r="G74" s="78"/>
    </row>
    <row r="75" spans="1:8" ht="12.75" x14ac:dyDescent="0.15">
      <c r="A75" s="95"/>
      <c r="B75" s="121"/>
      <c r="C75" s="253"/>
      <c r="D75" s="120"/>
      <c r="E75" s="123"/>
      <c r="F75" s="77"/>
      <c r="G75" s="78"/>
    </row>
    <row r="76" spans="1:8" ht="13.5" x14ac:dyDescent="0.15">
      <c r="A76" s="95"/>
      <c r="B76" s="121"/>
      <c r="C76" s="253"/>
      <c r="D76" s="120" t="s">
        <v>123</v>
      </c>
      <c r="E76" s="123">
        <v>6</v>
      </c>
      <c r="F76" s="35">
        <v>3125</v>
      </c>
      <c r="G76" s="35">
        <f>F76*E76</f>
        <v>18750</v>
      </c>
    </row>
    <row r="77" spans="1:8" ht="12.75" x14ac:dyDescent="0.15">
      <c r="A77" s="95"/>
      <c r="B77" s="121"/>
      <c r="C77" s="253"/>
      <c r="D77" s="120"/>
      <c r="E77" s="123"/>
      <c r="F77" s="77"/>
      <c r="G77" s="78"/>
    </row>
    <row r="78" spans="1:8" ht="12.75" x14ac:dyDescent="0.15">
      <c r="A78" s="95"/>
      <c r="B78" s="121"/>
      <c r="C78" s="253"/>
      <c r="D78" s="120"/>
      <c r="E78" s="123"/>
      <c r="F78" s="77"/>
      <c r="G78" s="78"/>
    </row>
    <row r="79" spans="1:8" ht="12.75" x14ac:dyDescent="0.15">
      <c r="A79" s="95"/>
      <c r="B79" s="121"/>
      <c r="C79" s="122"/>
      <c r="D79" s="120"/>
      <c r="E79" s="123"/>
      <c r="F79" s="77"/>
      <c r="G79" s="78"/>
    </row>
    <row r="80" spans="1:8" ht="12.75" x14ac:dyDescent="0.15">
      <c r="A80" s="95"/>
      <c r="B80" s="121"/>
      <c r="C80" s="122"/>
      <c r="D80" s="120"/>
      <c r="E80" s="123"/>
      <c r="F80" s="77"/>
      <c r="G80" s="78"/>
    </row>
    <row r="81" spans="1:8" ht="12.75" x14ac:dyDescent="0.15">
      <c r="A81" s="95"/>
      <c r="B81" s="127"/>
      <c r="C81" s="128"/>
      <c r="D81" s="129"/>
      <c r="E81" s="124"/>
      <c r="F81" s="77"/>
      <c r="G81" s="78"/>
    </row>
    <row r="82" spans="1:8" ht="12.75" x14ac:dyDescent="0.15">
      <c r="A82" s="95"/>
      <c r="B82" s="121" t="s">
        <v>500</v>
      </c>
      <c r="C82" s="122" t="s">
        <v>501</v>
      </c>
      <c r="D82" s="129"/>
      <c r="E82" s="124"/>
      <c r="F82" s="77"/>
      <c r="G82" s="78"/>
    </row>
    <row r="83" spans="1:8" ht="12.75" x14ac:dyDescent="0.15">
      <c r="A83" s="95"/>
      <c r="B83" s="130"/>
      <c r="C83" s="128"/>
      <c r="D83" s="129"/>
      <c r="E83" s="124"/>
      <c r="F83" s="77"/>
      <c r="G83" s="78"/>
    </row>
    <row r="84" spans="1:8" ht="12.75" x14ac:dyDescent="0.15">
      <c r="A84" s="95"/>
      <c r="B84" s="131"/>
      <c r="C84" s="122" t="s">
        <v>502</v>
      </c>
      <c r="D84" s="132"/>
      <c r="E84" s="124"/>
      <c r="F84" s="77"/>
      <c r="G84" s="78"/>
    </row>
    <row r="85" spans="1:8" ht="12.75" x14ac:dyDescent="0.15">
      <c r="A85" s="95"/>
      <c r="B85" s="131"/>
      <c r="C85" s="122" t="s">
        <v>503</v>
      </c>
      <c r="D85" s="132"/>
      <c r="E85" s="124"/>
      <c r="F85" s="77"/>
      <c r="G85" s="78"/>
    </row>
    <row r="86" spans="1:8" ht="12.75" x14ac:dyDescent="0.15">
      <c r="A86" s="133"/>
      <c r="B86" s="121" t="s">
        <v>504</v>
      </c>
      <c r="C86" s="122" t="s">
        <v>505</v>
      </c>
      <c r="D86" s="132"/>
      <c r="E86" s="124"/>
      <c r="F86" s="135"/>
      <c r="G86" s="136"/>
    </row>
    <row r="87" spans="1:8" ht="15" customHeight="1" x14ac:dyDescent="0.15">
      <c r="A87" s="133"/>
      <c r="B87" s="134"/>
      <c r="C87" s="122" t="s">
        <v>506</v>
      </c>
      <c r="D87" s="129" t="s">
        <v>123</v>
      </c>
      <c r="E87" s="124">
        <v>26</v>
      </c>
      <c r="F87" s="35">
        <v>144</v>
      </c>
      <c r="G87" s="35">
        <f>F87*E87</f>
        <v>3744</v>
      </c>
    </row>
    <row r="88" spans="1:8" ht="22.5" customHeight="1" x14ac:dyDescent="0.15">
      <c r="A88" s="133"/>
      <c r="B88" s="134"/>
      <c r="C88" s="122" t="s">
        <v>507</v>
      </c>
      <c r="D88" s="129"/>
      <c r="E88" s="124"/>
      <c r="F88" s="135"/>
      <c r="G88" s="136"/>
    </row>
    <row r="89" spans="1:8" ht="15" customHeight="1" x14ac:dyDescent="0.15">
      <c r="A89" s="133"/>
      <c r="B89" s="131"/>
      <c r="C89" s="122" t="s">
        <v>508</v>
      </c>
      <c r="D89" s="137"/>
      <c r="E89" s="124"/>
      <c r="F89" s="135"/>
      <c r="G89" s="136"/>
    </row>
    <row r="90" spans="1:8" ht="29.25" customHeight="1" x14ac:dyDescent="0.15">
      <c r="A90" s="133"/>
      <c r="B90" s="138"/>
      <c r="C90" s="139"/>
      <c r="D90" s="94"/>
      <c r="E90" s="123"/>
      <c r="F90" s="135"/>
      <c r="G90" s="136"/>
    </row>
    <row r="91" spans="1:8" ht="12.75" x14ac:dyDescent="0.15">
      <c r="A91" s="95"/>
      <c r="B91" s="131" t="s">
        <v>509</v>
      </c>
      <c r="C91" s="122" t="s">
        <v>510</v>
      </c>
      <c r="D91" s="132"/>
      <c r="E91" s="124"/>
      <c r="F91" s="77"/>
      <c r="G91" s="78"/>
    </row>
    <row r="92" spans="1:8" ht="12.75" x14ac:dyDescent="0.15">
      <c r="A92" s="95"/>
      <c r="B92" s="131"/>
      <c r="C92" s="122" t="s">
        <v>511</v>
      </c>
      <c r="D92" s="132"/>
      <c r="E92" s="124"/>
      <c r="F92" s="77"/>
      <c r="G92" s="78"/>
    </row>
    <row r="93" spans="1:8" ht="12.75" x14ac:dyDescent="0.15">
      <c r="A93" s="133"/>
      <c r="B93" s="121"/>
      <c r="C93" s="122" t="s">
        <v>512</v>
      </c>
      <c r="D93" s="132"/>
      <c r="E93" s="124"/>
      <c r="F93" s="135"/>
      <c r="G93" s="136"/>
    </row>
    <row r="94" spans="1:8" ht="15" customHeight="1" x14ac:dyDescent="0.15">
      <c r="A94" s="133"/>
      <c r="B94" s="134"/>
      <c r="C94" s="122" t="s">
        <v>513</v>
      </c>
      <c r="D94" s="129" t="s">
        <v>123</v>
      </c>
      <c r="E94" s="124">
        <v>26</v>
      </c>
      <c r="F94" s="35">
        <v>232</v>
      </c>
      <c r="G94" s="35">
        <f>F94*E94</f>
        <v>6032</v>
      </c>
    </row>
    <row r="95" spans="1:8" ht="22.5" customHeight="1" x14ac:dyDescent="0.15">
      <c r="A95" s="133"/>
      <c r="B95" s="134"/>
      <c r="C95" s="122" t="s">
        <v>514</v>
      </c>
      <c r="D95" s="129"/>
      <c r="E95" s="124"/>
      <c r="F95" s="135"/>
      <c r="G95" s="136"/>
    </row>
    <row r="96" spans="1:8" ht="15" customHeight="1" x14ac:dyDescent="0.15">
      <c r="A96" s="133"/>
      <c r="B96" s="131"/>
      <c r="C96" s="122" t="s">
        <v>515</v>
      </c>
      <c r="D96" s="137"/>
      <c r="E96" s="124"/>
      <c r="F96" s="135"/>
      <c r="G96" s="136"/>
    </row>
    <row r="97" spans="1:8" ht="15" customHeight="1" x14ac:dyDescent="0.15">
      <c r="A97" s="133"/>
      <c r="B97" s="131"/>
      <c r="C97" s="122"/>
      <c r="D97" s="137"/>
      <c r="E97" s="124"/>
      <c r="F97" s="135"/>
      <c r="G97" s="136"/>
    </row>
    <row r="98" spans="1:8" ht="24.75" customHeight="1" x14ac:dyDescent="0.15">
      <c r="A98" s="133"/>
      <c r="B98" s="131" t="s">
        <v>516</v>
      </c>
      <c r="C98" s="142" t="s">
        <v>517</v>
      </c>
      <c r="D98" s="166" t="s">
        <v>123</v>
      </c>
      <c r="E98" s="124">
        <v>2</v>
      </c>
      <c r="F98" s="35">
        <v>1113</v>
      </c>
      <c r="G98" s="35">
        <f>F98*E98</f>
        <v>2226</v>
      </c>
    </row>
    <row r="99" spans="1:8" ht="15" customHeight="1" x14ac:dyDescent="0.15">
      <c r="A99" s="133"/>
      <c r="B99" s="131"/>
      <c r="C99" s="122"/>
      <c r="D99" s="137"/>
      <c r="E99" s="124"/>
      <c r="F99" s="135"/>
      <c r="G99" s="136"/>
    </row>
    <row r="100" spans="1:8" ht="15" customHeight="1" x14ac:dyDescent="0.15">
      <c r="A100" s="133"/>
      <c r="B100" s="131"/>
      <c r="C100" s="122"/>
      <c r="D100" s="137"/>
      <c r="E100" s="124"/>
      <c r="F100" s="135"/>
      <c r="G100" s="136"/>
    </row>
    <row r="101" spans="1:8" ht="15" customHeight="1" x14ac:dyDescent="0.15">
      <c r="A101" s="133"/>
      <c r="B101" s="131"/>
      <c r="C101" s="122"/>
      <c r="D101" s="137"/>
      <c r="E101" s="124"/>
      <c r="F101" s="135"/>
      <c r="G101" s="136"/>
    </row>
    <row r="102" spans="1:8" ht="15" customHeight="1" x14ac:dyDescent="0.15">
      <c r="A102" s="133"/>
      <c r="B102" s="131"/>
      <c r="C102" s="122"/>
      <c r="D102" s="137"/>
      <c r="E102" s="124"/>
      <c r="F102" s="135"/>
      <c r="G102" s="136"/>
    </row>
    <row r="103" spans="1:8" ht="12.75" x14ac:dyDescent="0.15">
      <c r="A103" s="95"/>
      <c r="B103" s="125"/>
      <c r="C103" s="126"/>
      <c r="D103" s="120"/>
      <c r="E103" s="124"/>
      <c r="F103" s="77"/>
      <c r="G103" s="78"/>
    </row>
    <row r="104" spans="1:8" ht="12.75" x14ac:dyDescent="0.15">
      <c r="A104" s="95"/>
      <c r="B104" s="121" t="s">
        <v>518</v>
      </c>
      <c r="C104" s="122" t="s">
        <v>519</v>
      </c>
      <c r="D104" s="129"/>
      <c r="E104" s="124"/>
      <c r="F104" s="77"/>
      <c r="G104" s="78"/>
    </row>
    <row r="105" spans="1:8" ht="12.75" x14ac:dyDescent="0.15">
      <c r="A105" s="95"/>
      <c r="B105" s="121"/>
      <c r="C105" s="122"/>
      <c r="D105" s="129"/>
      <c r="E105" s="124"/>
      <c r="F105" s="77"/>
      <c r="G105" s="78"/>
    </row>
    <row r="106" spans="1:8" ht="12.75" x14ac:dyDescent="0.15">
      <c r="A106" s="95"/>
      <c r="B106" s="131"/>
      <c r="C106" s="122" t="s">
        <v>520</v>
      </c>
      <c r="D106" s="132"/>
      <c r="E106" s="124"/>
      <c r="F106" s="77"/>
      <c r="G106" s="78"/>
    </row>
    <row r="107" spans="1:8" ht="12.75" x14ac:dyDescent="0.15">
      <c r="A107" s="95"/>
      <c r="B107" s="131"/>
      <c r="C107" s="122" t="s">
        <v>521</v>
      </c>
      <c r="D107" s="132"/>
      <c r="E107" s="124"/>
      <c r="F107" s="77"/>
      <c r="G107" s="78"/>
    </row>
    <row r="108" spans="1:8" ht="12.75" x14ac:dyDescent="0.15">
      <c r="A108" s="95"/>
      <c r="B108" s="131"/>
      <c r="C108" s="122" t="s">
        <v>522</v>
      </c>
      <c r="D108" s="132"/>
      <c r="E108" s="124"/>
      <c r="F108" s="77"/>
      <c r="G108" s="78"/>
    </row>
    <row r="109" spans="1:8" ht="12.75" x14ac:dyDescent="0.15">
      <c r="A109" s="95"/>
      <c r="B109" s="131"/>
      <c r="C109" s="122" t="s">
        <v>523</v>
      </c>
      <c r="D109" s="132"/>
      <c r="E109" s="124"/>
      <c r="F109" s="77"/>
      <c r="G109" s="78"/>
    </row>
    <row r="110" spans="1:8" ht="12.75" x14ac:dyDescent="0.15">
      <c r="A110" s="95"/>
      <c r="B110" s="131"/>
      <c r="C110" s="122" t="s">
        <v>524</v>
      </c>
      <c r="D110" s="132"/>
      <c r="E110" s="124"/>
      <c r="F110" s="77"/>
      <c r="G110" s="78"/>
    </row>
    <row r="111" spans="1:8" ht="12.75" x14ac:dyDescent="0.15">
      <c r="A111" s="95"/>
      <c r="B111" s="131"/>
      <c r="C111" s="122" t="s">
        <v>525</v>
      </c>
      <c r="D111" s="132"/>
      <c r="E111" s="124"/>
      <c r="F111" s="77"/>
      <c r="G111" s="78"/>
    </row>
    <row r="112" spans="1:8" ht="12.75" x14ac:dyDescent="0.15">
      <c r="A112" s="95"/>
      <c r="B112" s="114"/>
      <c r="C112" s="143"/>
      <c r="D112" s="94"/>
      <c r="E112" s="123"/>
      <c r="F112" s="77"/>
      <c r="G112" s="78"/>
    </row>
    <row r="113" spans="1:8" ht="12.75" customHeight="1" x14ac:dyDescent="0.15">
      <c r="A113" s="95"/>
      <c r="B113" s="114"/>
      <c r="C113" s="117" t="s">
        <v>526</v>
      </c>
      <c r="D113" s="94" t="s">
        <v>123</v>
      </c>
      <c r="E113" s="123">
        <v>145</v>
      </c>
      <c r="F113" s="35">
        <v>44</v>
      </c>
      <c r="G113" s="35">
        <f>F113*E113</f>
        <v>6380</v>
      </c>
    </row>
    <row r="114" spans="1:8" ht="12.75" customHeight="1" x14ac:dyDescent="0.15">
      <c r="A114" s="95"/>
      <c r="B114" s="114"/>
      <c r="C114" s="117"/>
      <c r="D114" s="94"/>
      <c r="E114" s="123"/>
      <c r="F114" s="77"/>
      <c r="G114" s="78"/>
    </row>
    <row r="115" spans="1:8" ht="12.75" customHeight="1" x14ac:dyDescent="0.15">
      <c r="A115" s="95"/>
      <c r="B115" s="114"/>
      <c r="C115" s="117"/>
      <c r="D115" s="94"/>
      <c r="E115" s="123"/>
      <c r="F115" s="77"/>
      <c r="G115" s="78"/>
    </row>
    <row r="116" spans="1:8" ht="12.75" customHeight="1" x14ac:dyDescent="0.15">
      <c r="A116" s="95"/>
      <c r="B116" s="144" t="s">
        <v>527</v>
      </c>
      <c r="C116" s="122" t="s">
        <v>528</v>
      </c>
      <c r="D116" s="132"/>
      <c r="E116" s="124"/>
      <c r="F116" s="77"/>
      <c r="G116" s="78"/>
    </row>
    <row r="117" spans="1:8" ht="12.75" customHeight="1" x14ac:dyDescent="0.15">
      <c r="A117" s="95"/>
      <c r="B117" s="121"/>
      <c r="C117" s="145"/>
      <c r="D117" s="132"/>
      <c r="E117" s="124"/>
      <c r="F117" s="77"/>
      <c r="G117" s="78"/>
    </row>
    <row r="118" spans="1:8" ht="12.75" customHeight="1" x14ac:dyDescent="0.15">
      <c r="A118" s="95"/>
      <c r="B118" s="144"/>
      <c r="C118" s="122" t="s">
        <v>529</v>
      </c>
      <c r="D118" s="132"/>
      <c r="E118" s="124"/>
      <c r="F118" s="77"/>
      <c r="G118" s="78"/>
    </row>
    <row r="119" spans="1:8" ht="12.75" customHeight="1" x14ac:dyDescent="0.15">
      <c r="A119" s="95"/>
      <c r="B119" s="134"/>
      <c r="C119" s="122" t="s">
        <v>530</v>
      </c>
      <c r="D119" s="132"/>
      <c r="E119" s="124"/>
      <c r="F119" s="77"/>
      <c r="G119" s="78"/>
    </row>
    <row r="120" spans="1:8" ht="12.75" x14ac:dyDescent="0.15">
      <c r="A120" s="95"/>
      <c r="B120" s="134"/>
      <c r="C120" s="122" t="s">
        <v>531</v>
      </c>
      <c r="D120" s="141"/>
      <c r="E120" s="124"/>
      <c r="F120" s="77"/>
      <c r="G120" s="78"/>
    </row>
    <row r="121" spans="1:8" ht="15" customHeight="1" x14ac:dyDescent="0.15">
      <c r="A121" s="95"/>
      <c r="B121" s="141"/>
      <c r="C121" s="115"/>
      <c r="D121" s="120"/>
      <c r="E121" s="124"/>
      <c r="F121" s="77"/>
      <c r="G121" s="78"/>
    </row>
    <row r="122" spans="1:8" ht="15" customHeight="1" x14ac:dyDescent="0.15">
      <c r="A122" s="95"/>
      <c r="B122" s="131" t="s">
        <v>532</v>
      </c>
      <c r="C122" s="89" t="s">
        <v>533</v>
      </c>
      <c r="D122" s="120" t="s">
        <v>123</v>
      </c>
      <c r="E122" s="123">
        <v>24</v>
      </c>
      <c r="F122" s="35">
        <v>1075</v>
      </c>
      <c r="G122" s="35">
        <f>F122*E122</f>
        <v>25800</v>
      </c>
    </row>
    <row r="123" spans="1:8" ht="12.75" x14ac:dyDescent="0.15">
      <c r="A123" s="95"/>
      <c r="B123" s="125"/>
      <c r="C123" s="122"/>
      <c r="D123" s="120"/>
      <c r="E123" s="123"/>
      <c r="F123" s="77"/>
      <c r="G123" s="78"/>
    </row>
    <row r="124" spans="1:8" ht="12.75" x14ac:dyDescent="0.15">
      <c r="A124" s="95"/>
      <c r="B124" s="144" t="s">
        <v>534</v>
      </c>
      <c r="C124" s="122" t="s">
        <v>535</v>
      </c>
      <c r="D124" s="120"/>
      <c r="E124" s="123"/>
      <c r="F124" s="77"/>
      <c r="G124" s="78"/>
    </row>
    <row r="125" spans="1:8" ht="12.75" x14ac:dyDescent="0.15">
      <c r="A125" s="95"/>
      <c r="B125" s="121"/>
      <c r="C125" s="122"/>
      <c r="D125" s="120"/>
      <c r="E125" s="123"/>
      <c r="F125" s="77"/>
      <c r="G125" s="78"/>
    </row>
    <row r="126" spans="1:8" ht="15" customHeight="1" x14ac:dyDescent="0.15">
      <c r="A126" s="95"/>
      <c r="B126" s="121" t="s">
        <v>536</v>
      </c>
      <c r="C126" s="89" t="s">
        <v>537</v>
      </c>
      <c r="D126" s="120" t="s">
        <v>123</v>
      </c>
      <c r="E126" s="123">
        <v>2</v>
      </c>
      <c r="F126" s="35">
        <v>2250</v>
      </c>
      <c r="G126" s="35">
        <f>F126*E126</f>
        <v>4500</v>
      </c>
    </row>
    <row r="127" spans="1:8" ht="15" customHeight="1" x14ac:dyDescent="0.15">
      <c r="A127" s="95"/>
      <c r="B127" s="121" t="s">
        <v>538</v>
      </c>
      <c r="C127" s="89" t="s">
        <v>539</v>
      </c>
      <c r="D127" s="120" t="s">
        <v>123</v>
      </c>
      <c r="E127" s="123">
        <v>1</v>
      </c>
      <c r="F127" s="35">
        <v>3500</v>
      </c>
      <c r="G127" s="35">
        <f>F127*E127</f>
        <v>3500</v>
      </c>
    </row>
    <row r="128" spans="1:8" ht="15" customHeight="1" x14ac:dyDescent="0.15">
      <c r="A128" s="95"/>
      <c r="B128" s="121" t="s">
        <v>540</v>
      </c>
      <c r="C128" s="89" t="s">
        <v>541</v>
      </c>
      <c r="D128" s="120" t="s">
        <v>123</v>
      </c>
      <c r="E128" s="123">
        <v>0</v>
      </c>
      <c r="F128" s="77"/>
      <c r="G128" s="78"/>
    </row>
    <row r="129" spans="1:8" ht="15" customHeight="1" x14ac:dyDescent="0.15">
      <c r="A129" s="95"/>
      <c r="B129" s="121"/>
      <c r="C129" s="122"/>
      <c r="D129" s="120"/>
      <c r="E129" s="123"/>
      <c r="F129" s="77"/>
      <c r="G129" s="78"/>
    </row>
    <row r="130" spans="1:8" ht="15" customHeight="1" x14ac:dyDescent="0.15">
      <c r="A130" s="95"/>
      <c r="B130" s="121" t="s">
        <v>542</v>
      </c>
      <c r="C130" s="122" t="s">
        <v>543</v>
      </c>
      <c r="D130" s="120"/>
      <c r="E130" s="123"/>
      <c r="F130" s="77"/>
      <c r="G130" s="78"/>
    </row>
    <row r="131" spans="1:8" ht="12.75" x14ac:dyDescent="0.15">
      <c r="A131" s="95"/>
      <c r="B131" s="121"/>
      <c r="C131" s="122"/>
      <c r="D131" s="120"/>
      <c r="E131" s="123"/>
      <c r="F131" s="77"/>
      <c r="G131" s="78"/>
    </row>
    <row r="132" spans="1:8" ht="12.75" x14ac:dyDescent="0.15">
      <c r="A132" s="95"/>
      <c r="B132" s="121"/>
      <c r="C132" s="122"/>
      <c r="D132" s="120"/>
      <c r="E132" s="123"/>
      <c r="F132" s="77"/>
      <c r="G132" s="78"/>
    </row>
    <row r="133" spans="1:8" ht="15" customHeight="1" x14ac:dyDescent="0.15">
      <c r="A133" s="87"/>
      <c r="B133" s="121" t="s">
        <v>544</v>
      </c>
      <c r="C133" s="122" t="s">
        <v>545</v>
      </c>
      <c r="D133" s="120" t="s">
        <v>123</v>
      </c>
      <c r="E133" s="124">
        <v>1</v>
      </c>
      <c r="F133" s="35">
        <v>106250</v>
      </c>
      <c r="G133" s="35">
        <f>F133*E133</f>
        <v>106250</v>
      </c>
    </row>
    <row r="134" spans="1:8" ht="15" customHeight="1" x14ac:dyDescent="0.15">
      <c r="A134" s="87"/>
      <c r="B134" s="121"/>
      <c r="C134" s="119" t="s">
        <v>546</v>
      </c>
      <c r="D134" s="94"/>
      <c r="E134" s="124"/>
      <c r="F134" s="77"/>
      <c r="G134" s="78"/>
    </row>
    <row r="135" spans="1:8" ht="15" customHeight="1" x14ac:dyDescent="0.15">
      <c r="A135" s="95"/>
      <c r="B135" s="121"/>
      <c r="C135" s="146"/>
      <c r="D135" s="94"/>
      <c r="E135" s="124"/>
      <c r="F135" s="77"/>
      <c r="G135" s="78"/>
    </row>
    <row r="136" spans="1:8" ht="27" customHeight="1" x14ac:dyDescent="0.15">
      <c r="A136" s="95"/>
      <c r="B136" s="121" t="s">
        <v>547</v>
      </c>
      <c r="C136" s="142" t="s">
        <v>548</v>
      </c>
      <c r="D136" s="94" t="s">
        <v>123</v>
      </c>
      <c r="E136" s="124">
        <v>1</v>
      </c>
      <c r="F136" s="77"/>
      <c r="G136" s="78"/>
    </row>
    <row r="137" spans="1:8" ht="15" customHeight="1" x14ac:dyDescent="0.15">
      <c r="A137" s="95"/>
      <c r="B137" s="121"/>
      <c r="C137" s="167" t="s">
        <v>546</v>
      </c>
      <c r="D137" s="94"/>
      <c r="E137" s="124"/>
      <c r="F137" s="77"/>
      <c r="G137" s="78"/>
    </row>
    <row r="138" spans="1:8" ht="15" customHeight="1" x14ac:dyDescent="0.15">
      <c r="A138" s="95"/>
      <c r="B138" s="121"/>
      <c r="C138" s="146"/>
      <c r="D138" s="94"/>
      <c r="E138" s="124"/>
      <c r="F138" s="77"/>
      <c r="G138" s="78"/>
    </row>
    <row r="139" spans="1:8" ht="12.75" x14ac:dyDescent="0.15">
      <c r="A139" s="95"/>
      <c r="B139" s="121" t="s">
        <v>549</v>
      </c>
      <c r="C139" s="142" t="s">
        <v>550</v>
      </c>
      <c r="D139" s="94" t="s">
        <v>123</v>
      </c>
      <c r="E139" s="124">
        <v>1</v>
      </c>
      <c r="F139" s="77"/>
      <c r="G139" s="78"/>
    </row>
    <row r="140" spans="1:8" ht="14.25" x14ac:dyDescent="0.15">
      <c r="A140" s="95"/>
      <c r="B140" s="148"/>
      <c r="C140" s="167" t="s">
        <v>551</v>
      </c>
      <c r="D140" s="132"/>
      <c r="E140" s="124"/>
      <c r="F140" s="77"/>
      <c r="G140" s="78"/>
    </row>
    <row r="141" spans="1:8" ht="14.25" x14ac:dyDescent="0.15">
      <c r="A141" s="95"/>
      <c r="B141" s="148"/>
      <c r="C141" s="146"/>
      <c r="D141" s="132"/>
      <c r="E141" s="124"/>
      <c r="F141" s="77"/>
      <c r="G141" s="78"/>
    </row>
    <row r="142" spans="1:8" ht="15" customHeight="1" thickBot="1" x14ac:dyDescent="0.2">
      <c r="A142" s="95"/>
      <c r="B142" s="114"/>
      <c r="C142" s="159"/>
      <c r="D142" s="94"/>
      <c r="E142" s="123"/>
      <c r="F142" s="77"/>
      <c r="G142" s="78"/>
    </row>
    <row r="143" spans="1:8" ht="15" customHeight="1" thickBot="1" x14ac:dyDescent="0.2">
      <c r="A143" s="43" t="s">
        <v>552</v>
      </c>
      <c r="B143" s="44"/>
      <c r="C143" s="161"/>
      <c r="D143" s="46"/>
      <c r="E143" s="162"/>
      <c r="F143" s="47"/>
      <c r="G143" s="48">
        <f>SUM(G12:G142)</f>
        <v>407656</v>
      </c>
    </row>
    <row r="144" spans="1:8" ht="12.75" x14ac:dyDescent="0.15"/>
    <row r="145" spans="8:8" ht="12.75" x14ac:dyDescent="0.15"/>
    <row r="146" spans="8:8" ht="12.75" x14ac:dyDescent="0.15"/>
    <row r="147" spans="8:8" ht="15" customHeight="1" x14ac:dyDescent="0.15"/>
    <row r="148" spans="8:8" ht="12.75" x14ac:dyDescent="0.15"/>
    <row r="149" spans="8:8" ht="12.75" x14ac:dyDescent="0.15"/>
    <row r="150" spans="8:8" ht="15" customHeight="1" x14ac:dyDescent="0.15"/>
    <row r="151" spans="8:8" ht="12.75" x14ac:dyDescent="0.15"/>
    <row r="152" spans="8:8" ht="12.75" x14ac:dyDescent="0.15"/>
    <row r="153" spans="8:8" ht="15" customHeight="1" x14ac:dyDescent="0.15"/>
    <row r="154" spans="8:8" ht="15" customHeight="1" x14ac:dyDescent="0.15"/>
  </sheetData>
  <sheetProtection selectLockedCells="1"/>
  <mergeCells count="5">
    <mergeCell ref="C1:D1"/>
    <mergeCell ref="A6:B6"/>
    <mergeCell ref="B33:B40"/>
    <mergeCell ref="C70:C71"/>
    <mergeCell ref="C74:C78"/>
  </mergeCells>
  <printOptions horizontalCentered="1"/>
  <pageMargins left="0.25" right="0.25" top="0.75" bottom="0.75" header="0.3" footer="0.3"/>
  <pageSetup paperSize="9" scale="86" fitToHeight="0" orientation="portrait" r:id="rId1"/>
  <headerFooter>
    <oddFooter>&amp;RPage &amp;P of &amp;N</oddFooter>
  </headerFooter>
  <rowBreaks count="3" manualBreakCount="3">
    <brk id="29" max="6" man="1"/>
    <brk id="80" max="6" man="1"/>
    <brk id="114" max="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26E6-A0A5-458C-9992-3AF007AFFE89}">
  <dimension ref="A1:H21"/>
  <sheetViews>
    <sheetView view="pageBreakPreview" zoomScale="85" zoomScaleNormal="70" zoomScaleSheetLayoutView="85" workbookViewId="0">
      <selection activeCell="L30" sqref="L30"/>
    </sheetView>
  </sheetViews>
  <sheetFormatPr defaultColWidth="9.16796875" defaultRowHeight="15" x14ac:dyDescent="0.2"/>
  <cols>
    <col min="1" max="2" width="9.4375" style="59" customWidth="1"/>
    <col min="3" max="3" width="48.81640625" style="59" customWidth="1"/>
    <col min="4" max="4" width="9.4375" style="59" customWidth="1"/>
    <col min="5" max="5" width="13.34765625" style="59" customWidth="1"/>
    <col min="6" max="6" width="13.75390625" style="59" customWidth="1"/>
    <col min="7" max="7" width="16.71875" style="59" customWidth="1"/>
    <col min="8" max="16384" width="9.16796875" style="59"/>
  </cols>
  <sheetData>
    <row r="1" spans="1:8" x14ac:dyDescent="0.2">
      <c r="A1" s="1" t="s">
        <v>0</v>
      </c>
      <c r="B1" s="1"/>
      <c r="C1" s="250" t="s">
        <v>1</v>
      </c>
      <c r="D1" s="250"/>
      <c r="E1" s="2"/>
      <c r="F1" s="3"/>
      <c r="G1" s="3"/>
    </row>
    <row r="2" spans="1:8" x14ac:dyDescent="0.2">
      <c r="A2" s="1" t="s">
        <v>2</v>
      </c>
      <c r="B2" s="1"/>
      <c r="C2" s="80" t="s">
        <v>3</v>
      </c>
      <c r="D2" s="8"/>
      <c r="E2" s="5"/>
      <c r="F2" s="3"/>
      <c r="G2" s="3"/>
    </row>
    <row r="3" spans="1:8" x14ac:dyDescent="0.2">
      <c r="A3" s="6" t="s">
        <v>4</v>
      </c>
      <c r="B3" s="6"/>
      <c r="C3" s="6"/>
      <c r="D3" s="82"/>
      <c r="E3" s="8"/>
      <c r="F3" s="9"/>
      <c r="G3" s="9"/>
    </row>
    <row r="4" spans="1:8" ht="15.75" thickBot="1" x14ac:dyDescent="0.25">
      <c r="A4" s="6" t="s">
        <v>5</v>
      </c>
      <c r="B4" s="6"/>
      <c r="C4" s="6" t="s">
        <v>553</v>
      </c>
      <c r="D4" s="84"/>
      <c r="E4" s="7"/>
      <c r="F4" s="9"/>
      <c r="G4" s="9"/>
    </row>
    <row r="5" spans="1:8" ht="15.75" thickBot="1" x14ac:dyDescent="0.25">
      <c r="A5" s="235" t="s">
        <v>7</v>
      </c>
      <c r="B5" s="251"/>
      <c r="C5" s="12" t="s">
        <v>8</v>
      </c>
      <c r="D5" s="12" t="s">
        <v>9</v>
      </c>
      <c r="E5" s="13" t="s">
        <v>10</v>
      </c>
      <c r="F5" s="13" t="s">
        <v>11</v>
      </c>
      <c r="G5" s="14" t="s">
        <v>12</v>
      </c>
    </row>
    <row r="6" spans="1:8" x14ac:dyDescent="0.2">
      <c r="A6" s="61"/>
      <c r="B6" s="61"/>
      <c r="C6" s="62"/>
      <c r="D6" s="63"/>
      <c r="E6" s="63"/>
      <c r="F6" s="64"/>
      <c r="G6" s="64"/>
    </row>
    <row r="7" spans="1:8" x14ac:dyDescent="0.2">
      <c r="A7" s="21">
        <v>10</v>
      </c>
      <c r="B7" s="21"/>
      <c r="C7" s="22" t="s">
        <v>554</v>
      </c>
      <c r="D7" s="23"/>
      <c r="E7" s="55"/>
      <c r="F7" s="25"/>
      <c r="G7" s="25"/>
    </row>
    <row r="8" spans="1:8" x14ac:dyDescent="0.2">
      <c r="A8" s="168"/>
      <c r="B8" s="169"/>
      <c r="C8" s="170"/>
      <c r="D8" s="168"/>
      <c r="E8" s="168"/>
      <c r="F8" s="171"/>
      <c r="G8" s="171"/>
    </row>
    <row r="9" spans="1:8" x14ac:dyDescent="0.2">
      <c r="A9" s="27"/>
      <c r="B9" s="27"/>
      <c r="C9" s="168"/>
      <c r="D9" s="34"/>
      <c r="E9" s="34"/>
      <c r="F9" s="172"/>
      <c r="G9" s="173"/>
    </row>
    <row r="10" spans="1:8" x14ac:dyDescent="0.2">
      <c r="A10" s="27"/>
      <c r="B10" s="27"/>
      <c r="C10" s="168"/>
      <c r="D10" s="34"/>
      <c r="E10" s="34"/>
      <c r="F10" s="172"/>
      <c r="G10" s="173"/>
    </row>
    <row r="11" spans="1:8" ht="78" customHeight="1" x14ac:dyDescent="0.2">
      <c r="A11" s="27">
        <v>10.1</v>
      </c>
      <c r="B11" s="27"/>
      <c r="C11" s="174" t="s">
        <v>555</v>
      </c>
      <c r="D11" s="244" t="s">
        <v>92</v>
      </c>
      <c r="E11" s="247">
        <v>1</v>
      </c>
      <c r="F11" s="244">
        <v>94875</v>
      </c>
      <c r="G11" s="244">
        <f>F11*E11</f>
        <v>94875</v>
      </c>
    </row>
    <row r="12" spans="1:8" ht="78" customHeight="1" x14ac:dyDescent="0.2">
      <c r="A12" s="27"/>
      <c r="B12" s="27"/>
      <c r="C12" s="174" t="s">
        <v>556</v>
      </c>
      <c r="D12" s="246"/>
      <c r="E12" s="249"/>
      <c r="F12" s="246"/>
      <c r="G12" s="246"/>
    </row>
    <row r="13" spans="1:8" x14ac:dyDescent="0.2">
      <c r="A13" s="27"/>
      <c r="B13" s="27"/>
      <c r="C13" s="168"/>
      <c r="D13" s="34"/>
      <c r="E13" s="34"/>
      <c r="F13" s="172"/>
      <c r="G13" s="173"/>
    </row>
    <row r="14" spans="1:8" ht="25.5" x14ac:dyDescent="0.2">
      <c r="A14" s="27">
        <v>10.199999999999999</v>
      </c>
      <c r="B14" s="27"/>
      <c r="C14" s="168" t="s">
        <v>557</v>
      </c>
      <c r="D14" s="34" t="s">
        <v>123</v>
      </c>
      <c r="E14" s="34">
        <v>3</v>
      </c>
      <c r="F14" s="225">
        <v>20625</v>
      </c>
      <c r="G14" s="225">
        <f>F14*E14</f>
        <v>61875</v>
      </c>
    </row>
    <row r="15" spans="1:8" x14ac:dyDescent="0.2">
      <c r="A15" s="27"/>
      <c r="B15" s="27"/>
      <c r="C15" s="168"/>
      <c r="D15" s="34"/>
      <c r="E15" s="34"/>
      <c r="F15" s="172"/>
      <c r="G15" s="173"/>
    </row>
    <row r="16" spans="1:8" ht="25.5" x14ac:dyDescent="0.2">
      <c r="A16" s="27">
        <v>10.3</v>
      </c>
      <c r="B16" s="27"/>
      <c r="C16" s="168" t="s">
        <v>558</v>
      </c>
      <c r="D16" s="34" t="s">
        <v>92</v>
      </c>
      <c r="E16" s="34">
        <v>1</v>
      </c>
      <c r="F16" s="225">
        <v>18750</v>
      </c>
      <c r="G16" s="225">
        <f>F16*E16</f>
        <v>18750</v>
      </c>
    </row>
    <row r="17" spans="1:7" x14ac:dyDescent="0.2">
      <c r="A17" s="27"/>
      <c r="B17" s="27"/>
      <c r="C17" s="168"/>
      <c r="D17" s="34"/>
      <c r="E17" s="34"/>
      <c r="F17" s="172"/>
      <c r="G17" s="173"/>
    </row>
    <row r="18" spans="1:7" x14ac:dyDescent="0.2">
      <c r="A18" s="27"/>
      <c r="B18" s="27"/>
      <c r="C18" s="168"/>
      <c r="D18" s="34"/>
      <c r="E18" s="34"/>
      <c r="F18" s="172"/>
      <c r="G18" s="173"/>
    </row>
    <row r="19" spans="1:7" ht="60.75" customHeight="1" x14ac:dyDescent="0.2">
      <c r="A19" s="27"/>
      <c r="B19" s="27"/>
      <c r="C19" s="175" t="s">
        <v>559</v>
      </c>
      <c r="D19" s="34"/>
      <c r="E19" s="34"/>
      <c r="F19" s="172"/>
      <c r="G19" s="173"/>
    </row>
    <row r="20" spans="1:7" ht="15.75" thickBot="1" x14ac:dyDescent="0.25">
      <c r="A20" s="27"/>
      <c r="B20" s="27"/>
      <c r="C20" s="168"/>
      <c r="D20" s="34"/>
      <c r="E20" s="58"/>
      <c r="F20" s="41"/>
      <c r="G20" s="41"/>
    </row>
    <row r="21" spans="1:7" ht="15" customHeight="1" thickBot="1" x14ac:dyDescent="0.25">
      <c r="A21" s="43" t="s">
        <v>560</v>
      </c>
      <c r="B21" s="44"/>
      <c r="C21" s="161"/>
      <c r="D21" s="46"/>
      <c r="E21" s="162"/>
      <c r="F21" s="47"/>
      <c r="G21" s="48">
        <f>SUM(G11:G20)</f>
        <v>175500</v>
      </c>
    </row>
  </sheetData>
  <mergeCells count="6">
    <mergeCell ref="G11:G12"/>
    <mergeCell ref="C1:D1"/>
    <mergeCell ref="A5:B5"/>
    <mergeCell ref="D11:D12"/>
    <mergeCell ref="E11:E12"/>
    <mergeCell ref="F11:F12"/>
  </mergeCells>
  <pageMargins left="0.7" right="0.7" top="0.75" bottom="0.75" header="0.3" footer="0.3"/>
  <pageSetup scale="67" orientation="portrait" horizontalDpi="24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A756-9F02-40CD-A5F5-0D54D27B93D7}">
  <sheetPr>
    <pageSetUpPr fitToPage="1"/>
  </sheetPr>
  <dimension ref="A1:H45"/>
  <sheetViews>
    <sheetView showGridLines="0" view="pageBreakPreview" zoomScaleNormal="100" zoomScaleSheetLayoutView="100" workbookViewId="0">
      <selection activeCell="G15" sqref="G15"/>
    </sheetView>
  </sheetViews>
  <sheetFormatPr defaultColWidth="9.16796875" defaultRowHeight="14.25" x14ac:dyDescent="0.15"/>
  <cols>
    <col min="1" max="2" width="9.4375" style="193" customWidth="1"/>
    <col min="3" max="3" width="48.94921875" style="4" customWidth="1"/>
    <col min="4" max="4" width="14.42578125" style="38" customWidth="1"/>
    <col min="5" max="5" width="22.11328125" style="38" customWidth="1"/>
    <col min="6" max="6" width="24.40625" style="194" customWidth="1"/>
    <col min="7" max="7" width="26.4296875" style="194" customWidth="1"/>
    <col min="8" max="257" width="9.16796875" style="4"/>
    <col min="258" max="258" width="9.4375" style="4" customWidth="1"/>
    <col min="259" max="259" width="47.6015625" style="4" customWidth="1"/>
    <col min="260" max="260" width="14.42578125" style="4" customWidth="1"/>
    <col min="261" max="261" width="22.11328125" style="4" customWidth="1"/>
    <col min="262" max="262" width="24.40625" style="4" customWidth="1"/>
    <col min="263" max="263" width="26.4296875" style="4" customWidth="1"/>
    <col min="264" max="513" width="9.16796875" style="4"/>
    <col min="514" max="514" width="9.4375" style="4" customWidth="1"/>
    <col min="515" max="515" width="47.6015625" style="4" customWidth="1"/>
    <col min="516" max="516" width="14.42578125" style="4" customWidth="1"/>
    <col min="517" max="517" width="22.11328125" style="4" customWidth="1"/>
    <col min="518" max="518" width="24.40625" style="4" customWidth="1"/>
    <col min="519" max="519" width="26.4296875" style="4" customWidth="1"/>
    <col min="520" max="769" width="9.16796875" style="4"/>
    <col min="770" max="770" width="9.4375" style="4" customWidth="1"/>
    <col min="771" max="771" width="47.6015625" style="4" customWidth="1"/>
    <col min="772" max="772" width="14.42578125" style="4" customWidth="1"/>
    <col min="773" max="773" width="22.11328125" style="4" customWidth="1"/>
    <col min="774" max="774" width="24.40625" style="4" customWidth="1"/>
    <col min="775" max="775" width="26.4296875" style="4" customWidth="1"/>
    <col min="776" max="1025" width="9.16796875" style="4"/>
    <col min="1026" max="1026" width="9.4375" style="4" customWidth="1"/>
    <col min="1027" max="1027" width="47.6015625" style="4" customWidth="1"/>
    <col min="1028" max="1028" width="14.42578125" style="4" customWidth="1"/>
    <col min="1029" max="1029" width="22.11328125" style="4" customWidth="1"/>
    <col min="1030" max="1030" width="24.40625" style="4" customWidth="1"/>
    <col min="1031" max="1031" width="26.4296875" style="4" customWidth="1"/>
    <col min="1032" max="1281" width="9.16796875" style="4"/>
    <col min="1282" max="1282" width="9.4375" style="4" customWidth="1"/>
    <col min="1283" max="1283" width="47.6015625" style="4" customWidth="1"/>
    <col min="1284" max="1284" width="14.42578125" style="4" customWidth="1"/>
    <col min="1285" max="1285" width="22.11328125" style="4" customWidth="1"/>
    <col min="1286" max="1286" width="24.40625" style="4" customWidth="1"/>
    <col min="1287" max="1287" width="26.4296875" style="4" customWidth="1"/>
    <col min="1288" max="1537" width="9.16796875" style="4"/>
    <col min="1538" max="1538" width="9.4375" style="4" customWidth="1"/>
    <col min="1539" max="1539" width="47.6015625" style="4" customWidth="1"/>
    <col min="1540" max="1540" width="14.42578125" style="4" customWidth="1"/>
    <col min="1541" max="1541" width="22.11328125" style="4" customWidth="1"/>
    <col min="1542" max="1542" width="24.40625" style="4" customWidth="1"/>
    <col min="1543" max="1543" width="26.4296875" style="4" customWidth="1"/>
    <col min="1544" max="1793" width="9.16796875" style="4"/>
    <col min="1794" max="1794" width="9.4375" style="4" customWidth="1"/>
    <col min="1795" max="1795" width="47.6015625" style="4" customWidth="1"/>
    <col min="1796" max="1796" width="14.42578125" style="4" customWidth="1"/>
    <col min="1797" max="1797" width="22.11328125" style="4" customWidth="1"/>
    <col min="1798" max="1798" width="24.40625" style="4" customWidth="1"/>
    <col min="1799" max="1799" width="26.4296875" style="4" customWidth="1"/>
    <col min="1800" max="2049" width="9.16796875" style="4"/>
    <col min="2050" max="2050" width="9.4375" style="4" customWidth="1"/>
    <col min="2051" max="2051" width="47.6015625" style="4" customWidth="1"/>
    <col min="2052" max="2052" width="14.42578125" style="4" customWidth="1"/>
    <col min="2053" max="2053" width="22.11328125" style="4" customWidth="1"/>
    <col min="2054" max="2054" width="24.40625" style="4" customWidth="1"/>
    <col min="2055" max="2055" width="26.4296875" style="4" customWidth="1"/>
    <col min="2056" max="2305" width="9.16796875" style="4"/>
    <col min="2306" max="2306" width="9.4375" style="4" customWidth="1"/>
    <col min="2307" max="2307" width="47.6015625" style="4" customWidth="1"/>
    <col min="2308" max="2308" width="14.42578125" style="4" customWidth="1"/>
    <col min="2309" max="2309" width="22.11328125" style="4" customWidth="1"/>
    <col min="2310" max="2310" width="24.40625" style="4" customWidth="1"/>
    <col min="2311" max="2311" width="26.4296875" style="4" customWidth="1"/>
    <col min="2312" max="2561" width="9.16796875" style="4"/>
    <col min="2562" max="2562" width="9.4375" style="4" customWidth="1"/>
    <col min="2563" max="2563" width="47.6015625" style="4" customWidth="1"/>
    <col min="2564" max="2564" width="14.42578125" style="4" customWidth="1"/>
    <col min="2565" max="2565" width="22.11328125" style="4" customWidth="1"/>
    <col min="2566" max="2566" width="24.40625" style="4" customWidth="1"/>
    <col min="2567" max="2567" width="26.4296875" style="4" customWidth="1"/>
    <col min="2568" max="2817" width="9.16796875" style="4"/>
    <col min="2818" max="2818" width="9.4375" style="4" customWidth="1"/>
    <col min="2819" max="2819" width="47.6015625" style="4" customWidth="1"/>
    <col min="2820" max="2820" width="14.42578125" style="4" customWidth="1"/>
    <col min="2821" max="2821" width="22.11328125" style="4" customWidth="1"/>
    <col min="2822" max="2822" width="24.40625" style="4" customWidth="1"/>
    <col min="2823" max="2823" width="26.4296875" style="4" customWidth="1"/>
    <col min="2824" max="3073" width="9.16796875" style="4"/>
    <col min="3074" max="3074" width="9.4375" style="4" customWidth="1"/>
    <col min="3075" max="3075" width="47.6015625" style="4" customWidth="1"/>
    <col min="3076" max="3076" width="14.42578125" style="4" customWidth="1"/>
    <col min="3077" max="3077" width="22.11328125" style="4" customWidth="1"/>
    <col min="3078" max="3078" width="24.40625" style="4" customWidth="1"/>
    <col min="3079" max="3079" width="26.4296875" style="4" customWidth="1"/>
    <col min="3080" max="3329" width="9.16796875" style="4"/>
    <col min="3330" max="3330" width="9.4375" style="4" customWidth="1"/>
    <col min="3331" max="3331" width="47.6015625" style="4" customWidth="1"/>
    <col min="3332" max="3332" width="14.42578125" style="4" customWidth="1"/>
    <col min="3333" max="3333" width="22.11328125" style="4" customWidth="1"/>
    <col min="3334" max="3334" width="24.40625" style="4" customWidth="1"/>
    <col min="3335" max="3335" width="26.4296875" style="4" customWidth="1"/>
    <col min="3336" max="3585" width="9.16796875" style="4"/>
    <col min="3586" max="3586" width="9.4375" style="4" customWidth="1"/>
    <col min="3587" max="3587" width="47.6015625" style="4" customWidth="1"/>
    <col min="3588" max="3588" width="14.42578125" style="4" customWidth="1"/>
    <col min="3589" max="3589" width="22.11328125" style="4" customWidth="1"/>
    <col min="3590" max="3590" width="24.40625" style="4" customWidth="1"/>
    <col min="3591" max="3591" width="26.4296875" style="4" customWidth="1"/>
    <col min="3592" max="3841" width="9.16796875" style="4"/>
    <col min="3842" max="3842" width="9.4375" style="4" customWidth="1"/>
    <col min="3843" max="3843" width="47.6015625" style="4" customWidth="1"/>
    <col min="3844" max="3844" width="14.42578125" style="4" customWidth="1"/>
    <col min="3845" max="3845" width="22.11328125" style="4" customWidth="1"/>
    <col min="3846" max="3846" width="24.40625" style="4" customWidth="1"/>
    <col min="3847" max="3847" width="26.4296875" style="4" customWidth="1"/>
    <col min="3848" max="4097" width="9.16796875" style="4"/>
    <col min="4098" max="4098" width="9.4375" style="4" customWidth="1"/>
    <col min="4099" max="4099" width="47.6015625" style="4" customWidth="1"/>
    <col min="4100" max="4100" width="14.42578125" style="4" customWidth="1"/>
    <col min="4101" max="4101" width="22.11328125" style="4" customWidth="1"/>
    <col min="4102" max="4102" width="24.40625" style="4" customWidth="1"/>
    <col min="4103" max="4103" width="26.4296875" style="4" customWidth="1"/>
    <col min="4104" max="4353" width="9.16796875" style="4"/>
    <col min="4354" max="4354" width="9.4375" style="4" customWidth="1"/>
    <col min="4355" max="4355" width="47.6015625" style="4" customWidth="1"/>
    <col min="4356" max="4356" width="14.42578125" style="4" customWidth="1"/>
    <col min="4357" max="4357" width="22.11328125" style="4" customWidth="1"/>
    <col min="4358" max="4358" width="24.40625" style="4" customWidth="1"/>
    <col min="4359" max="4359" width="26.4296875" style="4" customWidth="1"/>
    <col min="4360" max="4609" width="9.16796875" style="4"/>
    <col min="4610" max="4610" width="9.4375" style="4" customWidth="1"/>
    <col min="4611" max="4611" width="47.6015625" style="4" customWidth="1"/>
    <col min="4612" max="4612" width="14.42578125" style="4" customWidth="1"/>
    <col min="4613" max="4613" width="22.11328125" style="4" customWidth="1"/>
    <col min="4614" max="4614" width="24.40625" style="4" customWidth="1"/>
    <col min="4615" max="4615" width="26.4296875" style="4" customWidth="1"/>
    <col min="4616" max="4865" width="9.16796875" style="4"/>
    <col min="4866" max="4866" width="9.4375" style="4" customWidth="1"/>
    <col min="4867" max="4867" width="47.6015625" style="4" customWidth="1"/>
    <col min="4868" max="4868" width="14.42578125" style="4" customWidth="1"/>
    <col min="4869" max="4869" width="22.11328125" style="4" customWidth="1"/>
    <col min="4870" max="4870" width="24.40625" style="4" customWidth="1"/>
    <col min="4871" max="4871" width="26.4296875" style="4" customWidth="1"/>
    <col min="4872" max="5121" width="9.16796875" style="4"/>
    <col min="5122" max="5122" width="9.4375" style="4" customWidth="1"/>
    <col min="5123" max="5123" width="47.6015625" style="4" customWidth="1"/>
    <col min="5124" max="5124" width="14.42578125" style="4" customWidth="1"/>
    <col min="5125" max="5125" width="22.11328125" style="4" customWidth="1"/>
    <col min="5126" max="5126" width="24.40625" style="4" customWidth="1"/>
    <col min="5127" max="5127" width="26.4296875" style="4" customWidth="1"/>
    <col min="5128" max="5377" width="9.16796875" style="4"/>
    <col min="5378" max="5378" width="9.4375" style="4" customWidth="1"/>
    <col min="5379" max="5379" width="47.6015625" style="4" customWidth="1"/>
    <col min="5380" max="5380" width="14.42578125" style="4" customWidth="1"/>
    <col min="5381" max="5381" width="22.11328125" style="4" customWidth="1"/>
    <col min="5382" max="5382" width="24.40625" style="4" customWidth="1"/>
    <col min="5383" max="5383" width="26.4296875" style="4" customWidth="1"/>
    <col min="5384" max="5633" width="9.16796875" style="4"/>
    <col min="5634" max="5634" width="9.4375" style="4" customWidth="1"/>
    <col min="5635" max="5635" width="47.6015625" style="4" customWidth="1"/>
    <col min="5636" max="5636" width="14.42578125" style="4" customWidth="1"/>
    <col min="5637" max="5637" width="22.11328125" style="4" customWidth="1"/>
    <col min="5638" max="5638" width="24.40625" style="4" customWidth="1"/>
    <col min="5639" max="5639" width="26.4296875" style="4" customWidth="1"/>
    <col min="5640" max="5889" width="9.16796875" style="4"/>
    <col min="5890" max="5890" width="9.4375" style="4" customWidth="1"/>
    <col min="5891" max="5891" width="47.6015625" style="4" customWidth="1"/>
    <col min="5892" max="5892" width="14.42578125" style="4" customWidth="1"/>
    <col min="5893" max="5893" width="22.11328125" style="4" customWidth="1"/>
    <col min="5894" max="5894" width="24.40625" style="4" customWidth="1"/>
    <col min="5895" max="5895" width="26.4296875" style="4" customWidth="1"/>
    <col min="5896" max="6145" width="9.16796875" style="4"/>
    <col min="6146" max="6146" width="9.4375" style="4" customWidth="1"/>
    <col min="6147" max="6147" width="47.6015625" style="4" customWidth="1"/>
    <col min="6148" max="6148" width="14.42578125" style="4" customWidth="1"/>
    <col min="6149" max="6149" width="22.11328125" style="4" customWidth="1"/>
    <col min="6150" max="6150" width="24.40625" style="4" customWidth="1"/>
    <col min="6151" max="6151" width="26.4296875" style="4" customWidth="1"/>
    <col min="6152" max="6401" width="9.16796875" style="4"/>
    <col min="6402" max="6402" width="9.4375" style="4" customWidth="1"/>
    <col min="6403" max="6403" width="47.6015625" style="4" customWidth="1"/>
    <col min="6404" max="6404" width="14.42578125" style="4" customWidth="1"/>
    <col min="6405" max="6405" width="22.11328125" style="4" customWidth="1"/>
    <col min="6406" max="6406" width="24.40625" style="4" customWidth="1"/>
    <col min="6407" max="6407" width="26.4296875" style="4" customWidth="1"/>
    <col min="6408" max="6657" width="9.16796875" style="4"/>
    <col min="6658" max="6658" width="9.4375" style="4" customWidth="1"/>
    <col min="6659" max="6659" width="47.6015625" style="4" customWidth="1"/>
    <col min="6660" max="6660" width="14.42578125" style="4" customWidth="1"/>
    <col min="6661" max="6661" width="22.11328125" style="4" customWidth="1"/>
    <col min="6662" max="6662" width="24.40625" style="4" customWidth="1"/>
    <col min="6663" max="6663" width="26.4296875" style="4" customWidth="1"/>
    <col min="6664" max="6913" width="9.16796875" style="4"/>
    <col min="6914" max="6914" width="9.4375" style="4" customWidth="1"/>
    <col min="6915" max="6915" width="47.6015625" style="4" customWidth="1"/>
    <col min="6916" max="6916" width="14.42578125" style="4" customWidth="1"/>
    <col min="6917" max="6917" width="22.11328125" style="4" customWidth="1"/>
    <col min="6918" max="6918" width="24.40625" style="4" customWidth="1"/>
    <col min="6919" max="6919" width="26.4296875" style="4" customWidth="1"/>
    <col min="6920" max="7169" width="9.16796875" style="4"/>
    <col min="7170" max="7170" width="9.4375" style="4" customWidth="1"/>
    <col min="7171" max="7171" width="47.6015625" style="4" customWidth="1"/>
    <col min="7172" max="7172" width="14.42578125" style="4" customWidth="1"/>
    <col min="7173" max="7173" width="22.11328125" style="4" customWidth="1"/>
    <col min="7174" max="7174" width="24.40625" style="4" customWidth="1"/>
    <col min="7175" max="7175" width="26.4296875" style="4" customWidth="1"/>
    <col min="7176" max="7425" width="9.16796875" style="4"/>
    <col min="7426" max="7426" width="9.4375" style="4" customWidth="1"/>
    <col min="7427" max="7427" width="47.6015625" style="4" customWidth="1"/>
    <col min="7428" max="7428" width="14.42578125" style="4" customWidth="1"/>
    <col min="7429" max="7429" width="22.11328125" style="4" customWidth="1"/>
    <col min="7430" max="7430" width="24.40625" style="4" customWidth="1"/>
    <col min="7431" max="7431" width="26.4296875" style="4" customWidth="1"/>
    <col min="7432" max="7681" width="9.16796875" style="4"/>
    <col min="7682" max="7682" width="9.4375" style="4" customWidth="1"/>
    <col min="7683" max="7683" width="47.6015625" style="4" customWidth="1"/>
    <col min="7684" max="7684" width="14.42578125" style="4" customWidth="1"/>
    <col min="7685" max="7685" width="22.11328125" style="4" customWidth="1"/>
    <col min="7686" max="7686" width="24.40625" style="4" customWidth="1"/>
    <col min="7687" max="7687" width="26.4296875" style="4" customWidth="1"/>
    <col min="7688" max="7937" width="9.16796875" style="4"/>
    <col min="7938" max="7938" width="9.4375" style="4" customWidth="1"/>
    <col min="7939" max="7939" width="47.6015625" style="4" customWidth="1"/>
    <col min="7940" max="7940" width="14.42578125" style="4" customWidth="1"/>
    <col min="7941" max="7941" width="22.11328125" style="4" customWidth="1"/>
    <col min="7942" max="7942" width="24.40625" style="4" customWidth="1"/>
    <col min="7943" max="7943" width="26.4296875" style="4" customWidth="1"/>
    <col min="7944" max="8193" width="9.16796875" style="4"/>
    <col min="8194" max="8194" width="9.4375" style="4" customWidth="1"/>
    <col min="8195" max="8195" width="47.6015625" style="4" customWidth="1"/>
    <col min="8196" max="8196" width="14.42578125" style="4" customWidth="1"/>
    <col min="8197" max="8197" width="22.11328125" style="4" customWidth="1"/>
    <col min="8198" max="8198" width="24.40625" style="4" customWidth="1"/>
    <col min="8199" max="8199" width="26.4296875" style="4" customWidth="1"/>
    <col min="8200" max="8449" width="9.16796875" style="4"/>
    <col min="8450" max="8450" width="9.4375" style="4" customWidth="1"/>
    <col min="8451" max="8451" width="47.6015625" style="4" customWidth="1"/>
    <col min="8452" max="8452" width="14.42578125" style="4" customWidth="1"/>
    <col min="8453" max="8453" width="22.11328125" style="4" customWidth="1"/>
    <col min="8454" max="8454" width="24.40625" style="4" customWidth="1"/>
    <col min="8455" max="8455" width="26.4296875" style="4" customWidth="1"/>
    <col min="8456" max="8705" width="9.16796875" style="4"/>
    <col min="8706" max="8706" width="9.4375" style="4" customWidth="1"/>
    <col min="8707" max="8707" width="47.6015625" style="4" customWidth="1"/>
    <col min="8708" max="8708" width="14.42578125" style="4" customWidth="1"/>
    <col min="8709" max="8709" width="22.11328125" style="4" customWidth="1"/>
    <col min="8710" max="8710" width="24.40625" style="4" customWidth="1"/>
    <col min="8711" max="8711" width="26.4296875" style="4" customWidth="1"/>
    <col min="8712" max="8961" width="9.16796875" style="4"/>
    <col min="8962" max="8962" width="9.4375" style="4" customWidth="1"/>
    <col min="8963" max="8963" width="47.6015625" style="4" customWidth="1"/>
    <col min="8964" max="8964" width="14.42578125" style="4" customWidth="1"/>
    <col min="8965" max="8965" width="22.11328125" style="4" customWidth="1"/>
    <col min="8966" max="8966" width="24.40625" style="4" customWidth="1"/>
    <col min="8967" max="8967" width="26.4296875" style="4" customWidth="1"/>
    <col min="8968" max="9217" width="9.16796875" style="4"/>
    <col min="9218" max="9218" width="9.4375" style="4" customWidth="1"/>
    <col min="9219" max="9219" width="47.6015625" style="4" customWidth="1"/>
    <col min="9220" max="9220" width="14.42578125" style="4" customWidth="1"/>
    <col min="9221" max="9221" width="22.11328125" style="4" customWidth="1"/>
    <col min="9222" max="9222" width="24.40625" style="4" customWidth="1"/>
    <col min="9223" max="9223" width="26.4296875" style="4" customWidth="1"/>
    <col min="9224" max="9473" width="9.16796875" style="4"/>
    <col min="9474" max="9474" width="9.4375" style="4" customWidth="1"/>
    <col min="9475" max="9475" width="47.6015625" style="4" customWidth="1"/>
    <col min="9476" max="9476" width="14.42578125" style="4" customWidth="1"/>
    <col min="9477" max="9477" width="22.11328125" style="4" customWidth="1"/>
    <col min="9478" max="9478" width="24.40625" style="4" customWidth="1"/>
    <col min="9479" max="9479" width="26.4296875" style="4" customWidth="1"/>
    <col min="9480" max="9729" width="9.16796875" style="4"/>
    <col min="9730" max="9730" width="9.4375" style="4" customWidth="1"/>
    <col min="9731" max="9731" width="47.6015625" style="4" customWidth="1"/>
    <col min="9732" max="9732" width="14.42578125" style="4" customWidth="1"/>
    <col min="9733" max="9733" width="22.11328125" style="4" customWidth="1"/>
    <col min="9734" max="9734" width="24.40625" style="4" customWidth="1"/>
    <col min="9735" max="9735" width="26.4296875" style="4" customWidth="1"/>
    <col min="9736" max="9985" width="9.16796875" style="4"/>
    <col min="9986" max="9986" width="9.4375" style="4" customWidth="1"/>
    <col min="9987" max="9987" width="47.6015625" style="4" customWidth="1"/>
    <col min="9988" max="9988" width="14.42578125" style="4" customWidth="1"/>
    <col min="9989" max="9989" width="22.11328125" style="4" customWidth="1"/>
    <col min="9990" max="9990" width="24.40625" style="4" customWidth="1"/>
    <col min="9991" max="9991" width="26.4296875" style="4" customWidth="1"/>
    <col min="9992" max="10241" width="9.16796875" style="4"/>
    <col min="10242" max="10242" width="9.4375" style="4" customWidth="1"/>
    <col min="10243" max="10243" width="47.6015625" style="4" customWidth="1"/>
    <col min="10244" max="10244" width="14.42578125" style="4" customWidth="1"/>
    <col min="10245" max="10245" width="22.11328125" style="4" customWidth="1"/>
    <col min="10246" max="10246" width="24.40625" style="4" customWidth="1"/>
    <col min="10247" max="10247" width="26.4296875" style="4" customWidth="1"/>
    <col min="10248" max="10497" width="9.16796875" style="4"/>
    <col min="10498" max="10498" width="9.4375" style="4" customWidth="1"/>
    <col min="10499" max="10499" width="47.6015625" style="4" customWidth="1"/>
    <col min="10500" max="10500" width="14.42578125" style="4" customWidth="1"/>
    <col min="10501" max="10501" width="22.11328125" style="4" customWidth="1"/>
    <col min="10502" max="10502" width="24.40625" style="4" customWidth="1"/>
    <col min="10503" max="10503" width="26.4296875" style="4" customWidth="1"/>
    <col min="10504" max="10753" width="9.16796875" style="4"/>
    <col min="10754" max="10754" width="9.4375" style="4" customWidth="1"/>
    <col min="10755" max="10755" width="47.6015625" style="4" customWidth="1"/>
    <col min="10756" max="10756" width="14.42578125" style="4" customWidth="1"/>
    <col min="10757" max="10757" width="22.11328125" style="4" customWidth="1"/>
    <col min="10758" max="10758" width="24.40625" style="4" customWidth="1"/>
    <col min="10759" max="10759" width="26.4296875" style="4" customWidth="1"/>
    <col min="10760" max="11009" width="9.16796875" style="4"/>
    <col min="11010" max="11010" width="9.4375" style="4" customWidth="1"/>
    <col min="11011" max="11011" width="47.6015625" style="4" customWidth="1"/>
    <col min="11012" max="11012" width="14.42578125" style="4" customWidth="1"/>
    <col min="11013" max="11013" width="22.11328125" style="4" customWidth="1"/>
    <col min="11014" max="11014" width="24.40625" style="4" customWidth="1"/>
    <col min="11015" max="11015" width="26.4296875" style="4" customWidth="1"/>
    <col min="11016" max="11265" width="9.16796875" style="4"/>
    <col min="11266" max="11266" width="9.4375" style="4" customWidth="1"/>
    <col min="11267" max="11267" width="47.6015625" style="4" customWidth="1"/>
    <col min="11268" max="11268" width="14.42578125" style="4" customWidth="1"/>
    <col min="11269" max="11269" width="22.11328125" style="4" customWidth="1"/>
    <col min="11270" max="11270" width="24.40625" style="4" customWidth="1"/>
    <col min="11271" max="11271" width="26.4296875" style="4" customWidth="1"/>
    <col min="11272" max="11521" width="9.16796875" style="4"/>
    <col min="11522" max="11522" width="9.4375" style="4" customWidth="1"/>
    <col min="11523" max="11523" width="47.6015625" style="4" customWidth="1"/>
    <col min="11524" max="11524" width="14.42578125" style="4" customWidth="1"/>
    <col min="11525" max="11525" width="22.11328125" style="4" customWidth="1"/>
    <col min="11526" max="11526" width="24.40625" style="4" customWidth="1"/>
    <col min="11527" max="11527" width="26.4296875" style="4" customWidth="1"/>
    <col min="11528" max="11777" width="9.16796875" style="4"/>
    <col min="11778" max="11778" width="9.4375" style="4" customWidth="1"/>
    <col min="11779" max="11779" width="47.6015625" style="4" customWidth="1"/>
    <col min="11780" max="11780" width="14.42578125" style="4" customWidth="1"/>
    <col min="11781" max="11781" width="22.11328125" style="4" customWidth="1"/>
    <col min="11782" max="11782" width="24.40625" style="4" customWidth="1"/>
    <col min="11783" max="11783" width="26.4296875" style="4" customWidth="1"/>
    <col min="11784" max="12033" width="9.16796875" style="4"/>
    <col min="12034" max="12034" width="9.4375" style="4" customWidth="1"/>
    <col min="12035" max="12035" width="47.6015625" style="4" customWidth="1"/>
    <col min="12036" max="12036" width="14.42578125" style="4" customWidth="1"/>
    <col min="12037" max="12037" width="22.11328125" style="4" customWidth="1"/>
    <col min="12038" max="12038" width="24.40625" style="4" customWidth="1"/>
    <col min="12039" max="12039" width="26.4296875" style="4" customWidth="1"/>
    <col min="12040" max="12289" width="9.16796875" style="4"/>
    <col min="12290" max="12290" width="9.4375" style="4" customWidth="1"/>
    <col min="12291" max="12291" width="47.6015625" style="4" customWidth="1"/>
    <col min="12292" max="12292" width="14.42578125" style="4" customWidth="1"/>
    <col min="12293" max="12293" width="22.11328125" style="4" customWidth="1"/>
    <col min="12294" max="12294" width="24.40625" style="4" customWidth="1"/>
    <col min="12295" max="12295" width="26.4296875" style="4" customWidth="1"/>
    <col min="12296" max="12545" width="9.16796875" style="4"/>
    <col min="12546" max="12546" width="9.4375" style="4" customWidth="1"/>
    <col min="12547" max="12547" width="47.6015625" style="4" customWidth="1"/>
    <col min="12548" max="12548" width="14.42578125" style="4" customWidth="1"/>
    <col min="12549" max="12549" width="22.11328125" style="4" customWidth="1"/>
    <col min="12550" max="12550" width="24.40625" style="4" customWidth="1"/>
    <col min="12551" max="12551" width="26.4296875" style="4" customWidth="1"/>
    <col min="12552" max="12801" width="9.16796875" style="4"/>
    <col min="12802" max="12802" width="9.4375" style="4" customWidth="1"/>
    <col min="12803" max="12803" width="47.6015625" style="4" customWidth="1"/>
    <col min="12804" max="12804" width="14.42578125" style="4" customWidth="1"/>
    <col min="12805" max="12805" width="22.11328125" style="4" customWidth="1"/>
    <col min="12806" max="12806" width="24.40625" style="4" customWidth="1"/>
    <col min="12807" max="12807" width="26.4296875" style="4" customWidth="1"/>
    <col min="12808" max="13057" width="9.16796875" style="4"/>
    <col min="13058" max="13058" width="9.4375" style="4" customWidth="1"/>
    <col min="13059" max="13059" width="47.6015625" style="4" customWidth="1"/>
    <col min="13060" max="13060" width="14.42578125" style="4" customWidth="1"/>
    <col min="13061" max="13061" width="22.11328125" style="4" customWidth="1"/>
    <col min="13062" max="13062" width="24.40625" style="4" customWidth="1"/>
    <col min="13063" max="13063" width="26.4296875" style="4" customWidth="1"/>
    <col min="13064" max="13313" width="9.16796875" style="4"/>
    <col min="13314" max="13314" width="9.4375" style="4" customWidth="1"/>
    <col min="13315" max="13315" width="47.6015625" style="4" customWidth="1"/>
    <col min="13316" max="13316" width="14.42578125" style="4" customWidth="1"/>
    <col min="13317" max="13317" width="22.11328125" style="4" customWidth="1"/>
    <col min="13318" max="13318" width="24.40625" style="4" customWidth="1"/>
    <col min="13319" max="13319" width="26.4296875" style="4" customWidth="1"/>
    <col min="13320" max="13569" width="9.16796875" style="4"/>
    <col min="13570" max="13570" width="9.4375" style="4" customWidth="1"/>
    <col min="13571" max="13571" width="47.6015625" style="4" customWidth="1"/>
    <col min="13572" max="13572" width="14.42578125" style="4" customWidth="1"/>
    <col min="13573" max="13573" width="22.11328125" style="4" customWidth="1"/>
    <col min="13574" max="13574" width="24.40625" style="4" customWidth="1"/>
    <col min="13575" max="13575" width="26.4296875" style="4" customWidth="1"/>
    <col min="13576" max="13825" width="9.16796875" style="4"/>
    <col min="13826" max="13826" width="9.4375" style="4" customWidth="1"/>
    <col min="13827" max="13827" width="47.6015625" style="4" customWidth="1"/>
    <col min="13828" max="13828" width="14.42578125" style="4" customWidth="1"/>
    <col min="13829" max="13829" width="22.11328125" style="4" customWidth="1"/>
    <col min="13830" max="13830" width="24.40625" style="4" customWidth="1"/>
    <col min="13831" max="13831" width="26.4296875" style="4" customWidth="1"/>
    <col min="13832" max="14081" width="9.16796875" style="4"/>
    <col min="14082" max="14082" width="9.4375" style="4" customWidth="1"/>
    <col min="14083" max="14083" width="47.6015625" style="4" customWidth="1"/>
    <col min="14084" max="14084" width="14.42578125" style="4" customWidth="1"/>
    <col min="14085" max="14085" width="22.11328125" style="4" customWidth="1"/>
    <col min="14086" max="14086" width="24.40625" style="4" customWidth="1"/>
    <col min="14087" max="14087" width="26.4296875" style="4" customWidth="1"/>
    <col min="14088" max="14337" width="9.16796875" style="4"/>
    <col min="14338" max="14338" width="9.4375" style="4" customWidth="1"/>
    <col min="14339" max="14339" width="47.6015625" style="4" customWidth="1"/>
    <col min="14340" max="14340" width="14.42578125" style="4" customWidth="1"/>
    <col min="14341" max="14341" width="22.11328125" style="4" customWidth="1"/>
    <col min="14342" max="14342" width="24.40625" style="4" customWidth="1"/>
    <col min="14343" max="14343" width="26.4296875" style="4" customWidth="1"/>
    <col min="14344" max="14593" width="9.16796875" style="4"/>
    <col min="14594" max="14594" width="9.4375" style="4" customWidth="1"/>
    <col min="14595" max="14595" width="47.6015625" style="4" customWidth="1"/>
    <col min="14596" max="14596" width="14.42578125" style="4" customWidth="1"/>
    <col min="14597" max="14597" width="22.11328125" style="4" customWidth="1"/>
    <col min="14598" max="14598" width="24.40625" style="4" customWidth="1"/>
    <col min="14599" max="14599" width="26.4296875" style="4" customWidth="1"/>
    <col min="14600" max="14849" width="9.16796875" style="4"/>
    <col min="14850" max="14850" width="9.4375" style="4" customWidth="1"/>
    <col min="14851" max="14851" width="47.6015625" style="4" customWidth="1"/>
    <col min="14852" max="14852" width="14.42578125" style="4" customWidth="1"/>
    <col min="14853" max="14853" width="22.11328125" style="4" customWidth="1"/>
    <col min="14854" max="14854" width="24.40625" style="4" customWidth="1"/>
    <col min="14855" max="14855" width="26.4296875" style="4" customWidth="1"/>
    <col min="14856" max="15105" width="9.16796875" style="4"/>
    <col min="15106" max="15106" width="9.4375" style="4" customWidth="1"/>
    <col min="15107" max="15107" width="47.6015625" style="4" customWidth="1"/>
    <col min="15108" max="15108" width="14.42578125" style="4" customWidth="1"/>
    <col min="15109" max="15109" width="22.11328125" style="4" customWidth="1"/>
    <col min="15110" max="15110" width="24.40625" style="4" customWidth="1"/>
    <col min="15111" max="15111" width="26.4296875" style="4" customWidth="1"/>
    <col min="15112" max="15361" width="9.16796875" style="4"/>
    <col min="15362" max="15362" width="9.4375" style="4" customWidth="1"/>
    <col min="15363" max="15363" width="47.6015625" style="4" customWidth="1"/>
    <col min="15364" max="15364" width="14.42578125" style="4" customWidth="1"/>
    <col min="15365" max="15365" width="22.11328125" style="4" customWidth="1"/>
    <col min="15366" max="15366" width="24.40625" style="4" customWidth="1"/>
    <col min="15367" max="15367" width="26.4296875" style="4" customWidth="1"/>
    <col min="15368" max="15617" width="9.16796875" style="4"/>
    <col min="15618" max="15618" width="9.4375" style="4" customWidth="1"/>
    <col min="15619" max="15619" width="47.6015625" style="4" customWidth="1"/>
    <col min="15620" max="15620" width="14.42578125" style="4" customWidth="1"/>
    <col min="15621" max="15621" width="22.11328125" style="4" customWidth="1"/>
    <col min="15622" max="15622" width="24.40625" style="4" customWidth="1"/>
    <col min="15623" max="15623" width="26.4296875" style="4" customWidth="1"/>
    <col min="15624" max="15873" width="9.16796875" style="4"/>
    <col min="15874" max="15874" width="9.4375" style="4" customWidth="1"/>
    <col min="15875" max="15875" width="47.6015625" style="4" customWidth="1"/>
    <col min="15876" max="15876" width="14.42578125" style="4" customWidth="1"/>
    <col min="15877" max="15877" width="22.11328125" style="4" customWidth="1"/>
    <col min="15878" max="15878" width="24.40625" style="4" customWidth="1"/>
    <col min="15879" max="15879" width="26.4296875" style="4" customWidth="1"/>
    <col min="15880" max="16129" width="9.16796875" style="4"/>
    <col min="16130" max="16130" width="9.4375" style="4" customWidth="1"/>
    <col min="16131" max="16131" width="47.6015625" style="4" customWidth="1"/>
    <col min="16132" max="16132" width="14.42578125" style="4" customWidth="1"/>
    <col min="16133" max="16133" width="22.11328125" style="4" customWidth="1"/>
    <col min="16134" max="16134" width="24.40625" style="4" customWidth="1"/>
    <col min="16135" max="16135" width="26.4296875" style="4" customWidth="1"/>
    <col min="16136" max="16384" width="9.16796875" style="4"/>
  </cols>
  <sheetData>
    <row r="1" spans="1:8" ht="21" customHeight="1" x14ac:dyDescent="0.15">
      <c r="A1" s="1" t="s">
        <v>0</v>
      </c>
      <c r="B1" s="1"/>
      <c r="C1" s="1"/>
      <c r="D1" s="250" t="s">
        <v>1</v>
      </c>
      <c r="E1" s="250"/>
      <c r="F1" s="1"/>
      <c r="G1" s="1"/>
    </row>
    <row r="2" spans="1:8" ht="22.5" customHeight="1" x14ac:dyDescent="0.15">
      <c r="A2" s="1" t="s">
        <v>2</v>
      </c>
      <c r="B2" s="1"/>
      <c r="C2" s="1"/>
      <c r="D2" s="80" t="s">
        <v>3</v>
      </c>
      <c r="E2" s="8"/>
      <c r="F2" s="1"/>
      <c r="G2" s="1"/>
    </row>
    <row r="3" spans="1:8" ht="22.5" customHeight="1" x14ac:dyDescent="0.15">
      <c r="A3" s="6" t="s">
        <v>4</v>
      </c>
      <c r="B3" s="6"/>
      <c r="C3" s="6"/>
      <c r="D3" s="6"/>
      <c r="E3" s="82"/>
      <c r="F3" s="1"/>
      <c r="G3" s="1"/>
    </row>
    <row r="4" spans="1:8" x14ac:dyDescent="0.15">
      <c r="A4" s="176"/>
      <c r="B4" s="176"/>
      <c r="C4" s="177"/>
      <c r="D4" s="176"/>
      <c r="E4" s="176"/>
      <c r="F4" s="178"/>
      <c r="G4" s="178"/>
    </row>
    <row r="5" spans="1:8" x14ac:dyDescent="0.15">
      <c r="A5" s="254" t="s">
        <v>561</v>
      </c>
      <c r="B5" s="255"/>
      <c r="C5" s="255"/>
      <c r="D5" s="255"/>
      <c r="E5" s="255"/>
      <c r="F5" s="255"/>
      <c r="G5" s="256"/>
    </row>
    <row r="6" spans="1:8" s="180" customFormat="1" x14ac:dyDescent="0.15">
      <c r="A6" s="257" t="s">
        <v>562</v>
      </c>
      <c r="B6" s="258"/>
      <c r="C6" s="261" t="s">
        <v>8</v>
      </c>
      <c r="D6" s="262" t="s">
        <v>9</v>
      </c>
      <c r="E6" s="261" t="s">
        <v>10</v>
      </c>
      <c r="F6" s="263" t="s">
        <v>563</v>
      </c>
      <c r="G6" s="179" t="s">
        <v>564</v>
      </c>
    </row>
    <row r="7" spans="1:8" s="180" customFormat="1" ht="17.25" customHeight="1" x14ac:dyDescent="0.15">
      <c r="A7" s="259"/>
      <c r="B7" s="260"/>
      <c r="C7" s="261"/>
      <c r="D7" s="262"/>
      <c r="E7" s="261"/>
      <c r="F7" s="263"/>
      <c r="G7" s="181" t="s">
        <v>565</v>
      </c>
    </row>
    <row r="8" spans="1:8" x14ac:dyDescent="0.15">
      <c r="A8" s="21"/>
      <c r="B8" s="21"/>
      <c r="C8" s="182"/>
      <c r="D8" s="23"/>
      <c r="E8" s="55"/>
      <c r="F8" s="24"/>
      <c r="G8" s="25"/>
    </row>
    <row r="9" spans="1:8" s="183" customFormat="1" x14ac:dyDescent="0.15">
      <c r="A9" s="21">
        <v>1</v>
      </c>
      <c r="B9" s="21"/>
      <c r="C9" s="182" t="s">
        <v>13</v>
      </c>
      <c r="D9" s="23" t="s">
        <v>566</v>
      </c>
      <c r="E9" s="55" t="s">
        <v>566</v>
      </c>
      <c r="F9" s="24" t="s">
        <v>566</v>
      </c>
      <c r="G9" s="217">
        <f>'Div.1.B'!$G$25</f>
        <v>321409</v>
      </c>
    </row>
    <row r="10" spans="1:8" x14ac:dyDescent="0.15">
      <c r="A10" s="21"/>
      <c r="B10" s="21"/>
      <c r="C10" s="182"/>
      <c r="D10" s="23"/>
      <c r="E10" s="55"/>
      <c r="F10" s="24"/>
      <c r="G10" s="218"/>
    </row>
    <row r="11" spans="1:8" s="183" customFormat="1" x14ac:dyDescent="0.15">
      <c r="A11" s="21">
        <v>2</v>
      </c>
      <c r="B11" s="21"/>
      <c r="C11" s="182" t="s">
        <v>32</v>
      </c>
      <c r="D11" s="23" t="s">
        <v>566</v>
      </c>
      <c r="E11" s="55" t="s">
        <v>566</v>
      </c>
      <c r="F11" s="24" t="s">
        <v>566</v>
      </c>
      <c r="G11" s="217">
        <f>'Div.2.B'!$G$42</f>
        <v>1151760</v>
      </c>
    </row>
    <row r="12" spans="1:8" s="183" customFormat="1" x14ac:dyDescent="0.15">
      <c r="A12" s="21"/>
      <c r="B12" s="21"/>
      <c r="C12" s="182"/>
      <c r="D12" s="23"/>
      <c r="E12" s="55"/>
      <c r="F12" s="24"/>
      <c r="G12" s="219"/>
    </row>
    <row r="13" spans="1:8" s="183" customFormat="1" x14ac:dyDescent="0.15">
      <c r="A13" s="21">
        <v>3</v>
      </c>
      <c r="B13" s="21"/>
      <c r="C13" s="184" t="s">
        <v>51</v>
      </c>
      <c r="D13" s="23" t="s">
        <v>566</v>
      </c>
      <c r="E13" s="55" t="s">
        <v>566</v>
      </c>
      <c r="F13" s="24" t="s">
        <v>566</v>
      </c>
      <c r="G13" s="217">
        <f>'Div.3.B'!$G$27</f>
        <v>538282</v>
      </c>
    </row>
    <row r="14" spans="1:8" s="183" customFormat="1" x14ac:dyDescent="0.15">
      <c r="A14" s="21"/>
      <c r="B14" s="21"/>
      <c r="C14" s="184"/>
      <c r="D14" s="23"/>
      <c r="E14" s="55"/>
      <c r="F14" s="24"/>
      <c r="G14" s="220"/>
    </row>
    <row r="15" spans="1:8" x14ac:dyDescent="0.15">
      <c r="A15" s="21">
        <v>4</v>
      </c>
      <c r="B15" s="21"/>
      <c r="C15" s="182" t="s">
        <v>60</v>
      </c>
      <c r="D15" s="23" t="s">
        <v>566</v>
      </c>
      <c r="E15" s="55" t="s">
        <v>566</v>
      </c>
      <c r="F15" s="24" t="s">
        <v>566</v>
      </c>
      <c r="G15" s="217">
        <f>'Div.4.B'!$G$33</f>
        <v>1063790</v>
      </c>
    </row>
    <row r="16" spans="1:8" x14ac:dyDescent="0.15">
      <c r="A16" s="21"/>
      <c r="B16" s="21"/>
      <c r="C16" s="182"/>
      <c r="D16" s="23"/>
      <c r="E16" s="55"/>
      <c r="F16" s="24"/>
      <c r="G16" s="220"/>
    </row>
    <row r="17" spans="1:7" s="180" customFormat="1" ht="15" customHeight="1" x14ac:dyDescent="0.15">
      <c r="A17" s="21">
        <v>5</v>
      </c>
      <c r="B17" s="21"/>
      <c r="C17" s="185" t="s">
        <v>567</v>
      </c>
      <c r="D17" s="23" t="s">
        <v>566</v>
      </c>
      <c r="E17" s="55" t="s">
        <v>566</v>
      </c>
      <c r="F17" s="24" t="s">
        <v>566</v>
      </c>
      <c r="G17" s="217">
        <f>'Div.5.B'!$G$30</f>
        <v>206637</v>
      </c>
    </row>
    <row r="18" spans="1:7" s="180" customFormat="1" ht="15" customHeight="1" x14ac:dyDescent="0.15">
      <c r="A18" s="21"/>
      <c r="B18" s="21"/>
      <c r="C18" s="185"/>
      <c r="D18" s="23"/>
      <c r="E18" s="55"/>
      <c r="F18" s="24"/>
      <c r="G18" s="220"/>
    </row>
    <row r="19" spans="1:7" s="180" customFormat="1" ht="15" customHeight="1" x14ac:dyDescent="0.15">
      <c r="A19" s="21">
        <v>6</v>
      </c>
      <c r="B19" s="21"/>
      <c r="C19" s="185" t="s">
        <v>103</v>
      </c>
      <c r="D19" s="23" t="s">
        <v>566</v>
      </c>
      <c r="E19" s="55" t="s">
        <v>566</v>
      </c>
      <c r="F19" s="24" t="s">
        <v>566</v>
      </c>
      <c r="G19" s="217">
        <f>'Div.6.B'!$G$29</f>
        <v>713108</v>
      </c>
    </row>
    <row r="20" spans="1:7" s="180" customFormat="1" ht="15" customHeight="1" x14ac:dyDescent="0.15">
      <c r="A20" s="21"/>
      <c r="B20" s="21"/>
      <c r="C20" s="185"/>
      <c r="D20" s="23"/>
      <c r="E20" s="55"/>
      <c r="F20" s="24"/>
      <c r="G20" s="217"/>
    </row>
    <row r="21" spans="1:7" s="180" customFormat="1" ht="15" customHeight="1" x14ac:dyDescent="0.15">
      <c r="A21" s="21">
        <v>7</v>
      </c>
      <c r="B21" s="21"/>
      <c r="C21" s="185" t="s">
        <v>568</v>
      </c>
      <c r="D21" s="23" t="s">
        <v>566</v>
      </c>
      <c r="E21" s="55" t="s">
        <v>566</v>
      </c>
      <c r="F21" s="24" t="s">
        <v>566</v>
      </c>
      <c r="G21" s="217">
        <f>'Div.7.B'!$G$135</f>
        <v>323601</v>
      </c>
    </row>
    <row r="22" spans="1:7" s="180" customFormat="1" ht="15" customHeight="1" x14ac:dyDescent="0.15">
      <c r="A22" s="21"/>
      <c r="B22" s="21"/>
      <c r="C22" s="185"/>
      <c r="D22" s="23"/>
      <c r="E22" s="55"/>
      <c r="F22" s="24"/>
      <c r="G22" s="217"/>
    </row>
    <row r="23" spans="1:7" s="180" customFormat="1" ht="15" customHeight="1" x14ac:dyDescent="0.15">
      <c r="A23" s="21">
        <v>8</v>
      </c>
      <c r="B23" s="21"/>
      <c r="C23" s="185" t="s">
        <v>569</v>
      </c>
      <c r="D23" s="23" t="s">
        <v>566</v>
      </c>
      <c r="E23" s="55" t="s">
        <v>566</v>
      </c>
      <c r="F23" s="24" t="s">
        <v>566</v>
      </c>
      <c r="G23" s="217">
        <f>'Div.8.B'!$G$239</f>
        <v>656812</v>
      </c>
    </row>
    <row r="24" spans="1:7" s="180" customFormat="1" ht="15" customHeight="1" x14ac:dyDescent="0.15">
      <c r="A24" s="21"/>
      <c r="B24" s="21"/>
      <c r="C24" s="185"/>
      <c r="D24" s="23"/>
      <c r="E24" s="55"/>
      <c r="F24" s="24"/>
      <c r="G24" s="217"/>
    </row>
    <row r="25" spans="1:7" s="180" customFormat="1" ht="15" customHeight="1" x14ac:dyDescent="0.15">
      <c r="A25" s="21">
        <v>9</v>
      </c>
      <c r="B25" s="21"/>
      <c r="C25" s="185" t="s">
        <v>459</v>
      </c>
      <c r="D25" s="23" t="s">
        <v>566</v>
      </c>
      <c r="E25" s="55" t="s">
        <v>566</v>
      </c>
      <c r="F25" s="24" t="s">
        <v>566</v>
      </c>
      <c r="G25" s="217">
        <f>'Div.9.B'!$G$143</f>
        <v>407656</v>
      </c>
    </row>
    <row r="26" spans="1:7" s="180" customFormat="1" ht="15" customHeight="1" x14ac:dyDescent="0.15">
      <c r="A26" s="21"/>
      <c r="B26" s="21"/>
      <c r="C26" s="185"/>
      <c r="D26" s="23"/>
      <c r="E26" s="55"/>
      <c r="F26" s="24"/>
      <c r="G26" s="217"/>
    </row>
    <row r="27" spans="1:7" s="180" customFormat="1" ht="15" customHeight="1" x14ac:dyDescent="0.15">
      <c r="A27" s="21">
        <v>10</v>
      </c>
      <c r="B27" s="21"/>
      <c r="C27" s="185" t="s">
        <v>620</v>
      </c>
      <c r="D27" s="23" t="s">
        <v>566</v>
      </c>
      <c r="E27" s="55" t="s">
        <v>566</v>
      </c>
      <c r="F27" s="24" t="s">
        <v>566</v>
      </c>
      <c r="G27" s="217">
        <f>'Div.10.B'!$G$21</f>
        <v>175500</v>
      </c>
    </row>
    <row r="28" spans="1:7" s="180" customFormat="1" ht="15" customHeight="1" x14ac:dyDescent="0.15">
      <c r="A28" s="21"/>
      <c r="B28" s="21"/>
      <c r="C28" s="185"/>
      <c r="D28" s="23"/>
      <c r="E28" s="55"/>
      <c r="F28" s="24"/>
      <c r="G28" s="217"/>
    </row>
    <row r="29" spans="1:7" x14ac:dyDescent="0.15">
      <c r="A29" s="186"/>
      <c r="B29" s="186"/>
      <c r="C29" s="187" t="s">
        <v>570</v>
      </c>
      <c r="D29" s="188"/>
      <c r="E29" s="189"/>
      <c r="F29" s="190"/>
      <c r="G29" s="221">
        <f>SUM(G9:G28)</f>
        <v>5558555</v>
      </c>
    </row>
    <row r="30" spans="1:7" x14ac:dyDescent="0.15">
      <c r="A30" s="191"/>
      <c r="B30" s="191"/>
      <c r="C30" s="191"/>
      <c r="D30" s="191"/>
      <c r="E30" s="191"/>
      <c r="F30" s="191"/>
      <c r="G30" s="192"/>
    </row>
    <row r="33" spans="1:7" s="191" customFormat="1" x14ac:dyDescent="0.15">
      <c r="A33" s="193"/>
      <c r="B33" s="193"/>
      <c r="C33" s="4"/>
      <c r="D33" s="38"/>
      <c r="E33" s="38"/>
      <c r="F33" s="194"/>
      <c r="G33" s="194"/>
    </row>
    <row r="34" spans="1:7" s="191" customFormat="1" x14ac:dyDescent="0.15">
      <c r="A34" s="193"/>
      <c r="B34" s="193"/>
      <c r="C34" s="4"/>
      <c r="D34" s="38"/>
      <c r="E34" s="38"/>
      <c r="F34" s="194"/>
      <c r="G34" s="194"/>
    </row>
    <row r="35" spans="1:7" ht="32.85" customHeight="1" x14ac:dyDescent="0.15"/>
    <row r="36" spans="1:7" ht="16.5" customHeight="1" x14ac:dyDescent="0.15"/>
    <row r="37" spans="1:7" s="191" customFormat="1" ht="18" customHeight="1" x14ac:dyDescent="0.15">
      <c r="A37" s="193"/>
      <c r="B37" s="193"/>
      <c r="C37" s="4"/>
      <c r="D37" s="38"/>
      <c r="E37" s="38"/>
      <c r="F37" s="194"/>
      <c r="G37" s="194"/>
    </row>
    <row r="38" spans="1:7" s="191" customFormat="1" ht="18" customHeight="1" x14ac:dyDescent="0.15">
      <c r="A38" s="193"/>
      <c r="B38" s="193"/>
      <c r="C38" s="4"/>
      <c r="D38" s="38"/>
      <c r="E38" s="38"/>
      <c r="F38" s="194"/>
      <c r="G38" s="194"/>
    </row>
    <row r="39" spans="1:7" s="191" customFormat="1" ht="17.25" customHeight="1" x14ac:dyDescent="0.15">
      <c r="A39" s="193"/>
      <c r="B39" s="193"/>
      <c r="C39" s="4"/>
      <c r="D39" s="38"/>
      <c r="E39" s="38"/>
      <c r="F39" s="194"/>
      <c r="G39" s="194"/>
    </row>
    <row r="40" spans="1:7" s="191" customFormat="1" ht="18" customHeight="1" x14ac:dyDescent="0.15">
      <c r="A40" s="193"/>
      <c r="B40" s="193"/>
      <c r="C40" s="4"/>
      <c r="D40" s="38"/>
      <c r="E40" s="38"/>
      <c r="F40" s="194"/>
      <c r="G40" s="194"/>
    </row>
    <row r="41" spans="1:7" s="191" customFormat="1" ht="17.25" customHeight="1" x14ac:dyDescent="0.15">
      <c r="A41" s="193"/>
      <c r="B41" s="193"/>
      <c r="C41" s="4"/>
      <c r="D41" s="38"/>
      <c r="E41" s="38"/>
      <c r="F41" s="194"/>
      <c r="G41" s="194"/>
    </row>
    <row r="42" spans="1:7" s="191" customFormat="1" ht="17.25" customHeight="1" x14ac:dyDescent="0.15">
      <c r="A42" s="193"/>
      <c r="B42" s="193"/>
      <c r="C42" s="4"/>
      <c r="D42" s="38"/>
      <c r="E42" s="38"/>
      <c r="F42" s="194"/>
      <c r="G42" s="194"/>
    </row>
    <row r="43" spans="1:7" s="191" customFormat="1" ht="17.25" customHeight="1" x14ac:dyDescent="0.15">
      <c r="A43" s="193"/>
      <c r="B43" s="193"/>
      <c r="C43" s="4"/>
      <c r="D43" s="38"/>
      <c r="E43" s="38"/>
      <c r="F43" s="194"/>
      <c r="G43" s="194"/>
    </row>
    <row r="44" spans="1:7" s="191" customFormat="1" ht="17.25" customHeight="1" x14ac:dyDescent="0.15">
      <c r="A44" s="193"/>
      <c r="B44" s="193"/>
      <c r="C44" s="4"/>
      <c r="D44" s="38"/>
      <c r="E44" s="38"/>
      <c r="F44" s="194"/>
      <c r="G44" s="194"/>
    </row>
    <row r="45" spans="1:7" ht="18" customHeight="1" x14ac:dyDescent="0.15"/>
  </sheetData>
  <sheetProtection formatCells="0" formatColumns="0" formatRows="0" insertColumns="0" insertRows="0" insertHyperlinks="0" deleteColumns="0" deleteRows="0" sort="0" autoFilter="0" pivotTables="0"/>
  <mergeCells count="7">
    <mergeCell ref="D1:E1"/>
    <mergeCell ref="A5:G5"/>
    <mergeCell ref="A6:B7"/>
    <mergeCell ref="C6:C7"/>
    <mergeCell ref="D6:D7"/>
    <mergeCell ref="E6:E7"/>
    <mergeCell ref="F6:F7"/>
  </mergeCells>
  <printOptions horizontalCentered="1"/>
  <pageMargins left="0.23622047244094491" right="0.23622047244094491" top="0.51181102362204722" bottom="0.51181102362204722" header="0.51181102362204722" footer="0.35433070866141736"/>
  <pageSetup paperSize="9" scale="90" orientation="landscape" useFirstPageNumber="1" horizontalDpi="1200" verticalDpi="1200" r:id="rId1"/>
  <headerFooter alignWithMargins="0">
    <oddFooter>&amp;C&amp;A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48108232-F572-42AA-82D5-E61CCBDC30A8}">
  <ds:schemaRef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Div.1.B</vt:lpstr>
      <vt:lpstr>Div.2.B</vt:lpstr>
      <vt:lpstr>Div.3.B</vt:lpstr>
      <vt:lpstr>Div.4.B</vt:lpstr>
      <vt:lpstr>Div.5.B</vt:lpstr>
      <vt:lpstr>Div.6.B</vt:lpstr>
      <vt:lpstr>Div.7.B</vt:lpstr>
      <vt:lpstr>Div.8.B</vt:lpstr>
      <vt:lpstr>Div.9.B</vt:lpstr>
      <vt:lpstr>Div.10.B</vt:lpstr>
      <vt:lpstr>SUMMARY</vt:lpstr>
      <vt:lpstr>Div.1.B!Print_Area</vt:lpstr>
      <vt:lpstr>Div.10.B!Print_Area</vt:lpstr>
      <vt:lpstr>Div.2.B!Print_Area</vt:lpstr>
      <vt:lpstr>Div.3.B!Print_Area</vt:lpstr>
      <vt:lpstr>Div.4.B!Print_Area</vt:lpstr>
      <vt:lpstr>Div.5.B!Print_Area</vt:lpstr>
      <vt:lpstr>Div.6.B!Print_Area</vt:lpstr>
      <vt:lpstr>Div.7.B!Print_Area</vt:lpstr>
      <vt:lpstr>Div.8.B!Print_Area</vt:lpstr>
      <vt:lpstr>Div.9.B!Print_Area</vt:lpstr>
      <vt:lpstr>SUMMARY!Print_Area</vt:lpstr>
      <vt:lpstr>Div.7.B!Print_Titles</vt:lpstr>
      <vt:lpstr>Div.8.B!Print_Titles</vt:lpstr>
      <vt:lpstr>Div.9.B!Print_Titles</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Junid</dc:creator>
  <cp:lastModifiedBy>nasreldin samy</cp:lastModifiedBy>
  <dcterms:created xsi:type="dcterms:W3CDTF">2026-03-05T10:56:24Z</dcterms:created>
  <dcterms:modified xsi:type="dcterms:W3CDTF">2026-09-15T16:46:35Z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{48108232-F572-42AA-82D5-E61CCBDC30A8}</vt:lpwstr>
  </property>
</Properties>
</file>