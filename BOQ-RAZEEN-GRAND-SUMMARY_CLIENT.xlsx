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SUMMARY" sheetId="1" state="visible" r:id="rId1"/>
  </sheets>
  <definedNames>
    <definedName name="_xlnm.Print_Area" localSheetId="0">'GRAND SUMMARY'!$A$1:$G$27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3" borderId="2" pivotButton="0" quotePrefix="0" xfId="0"/>
    <xf numFmtId="3" fontId="1" fillId="3" borderId="2" applyAlignment="1" pivotButton="0" quotePrefix="0" xfId="0">
      <alignment horizontal="right" vertical="center"/>
    </xf>
    <xf numFmtId="164" fontId="1" fillId="3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" customWidth="1" min="2" max="2"/>
    <col width="46" customWidth="1" min="3" max="3"/>
    <col width="20" customWidth="1" min="4" max="4"/>
    <col width="20" customWidth="1" min="5" max="5"/>
    <col width="22" customWidth="1" min="6" max="6"/>
    <col width="12" customWidth="1" min="7" max="7"/>
  </cols>
  <sheetData>
    <row r="1">
      <c r="A1" s="1" t="inlineStr">
        <is>
          <t>Project:</t>
        </is>
      </c>
      <c r="D1" s="2" t="inlineStr">
        <is>
          <t>Commercial building</t>
        </is>
      </c>
    </row>
    <row r="2">
      <c r="A2" s="1" t="inlineStr">
        <is>
          <t>Location:</t>
        </is>
      </c>
      <c r="D2" s="2" t="inlineStr">
        <is>
          <t>Al-DAMMAM , KSA</t>
        </is>
      </c>
    </row>
    <row r="3">
      <c r="A3" s="1" t="inlineStr">
        <is>
          <t>Owner:</t>
        </is>
      </c>
    </row>
    <row r="5" ht="24" customHeight="1">
      <c r="A5" s="3" t="inlineStr">
        <is>
          <t>GRAND SUMMARY  -  BUILDING A + BUILDING B  (CLIENT COPY)</t>
        </is>
      </c>
    </row>
    <row r="6" ht="30" customHeight="1">
      <c r="A6" s="4" t="inlineStr">
        <is>
          <t>Item No.</t>
        </is>
      </c>
      <c r="B6" s="5" t="n"/>
      <c r="C6" s="4" t="inlineStr">
        <is>
          <t>Description</t>
        </is>
      </c>
      <c r="D6" s="4" t="inlineStr">
        <is>
          <t>BUILDING A</t>
        </is>
      </c>
      <c r="E6" s="4" t="inlineStr">
        <is>
          <t>BUILDING B</t>
        </is>
      </c>
      <c r="F6" s="4" t="inlineStr">
        <is>
          <t>TOTAL  (A + B)</t>
        </is>
      </c>
      <c r="G6" s="4" t="inlineStr">
        <is>
          <t>% of Total</t>
        </is>
      </c>
    </row>
    <row r="7">
      <c r="B7" s="5" t="n"/>
      <c r="D7" s="6" t="inlineStr">
        <is>
          <t>SAR</t>
        </is>
      </c>
      <c r="E7" s="6" t="inlineStr">
        <is>
          <t>SAR</t>
        </is>
      </c>
      <c r="F7" s="6" t="inlineStr">
        <is>
          <t>SAR</t>
        </is>
      </c>
      <c r="G7" s="6" t="inlineStr">
        <is>
          <t>%</t>
        </is>
      </c>
    </row>
    <row r="9" ht="22" customHeight="1">
      <c r="A9" s="7" t="n">
        <v>1</v>
      </c>
      <c r="B9" s="8" t="n"/>
      <c r="C9" s="9" t="inlineStr">
        <is>
          <t>EARTHWORKS</t>
        </is>
      </c>
      <c r="D9" s="10" t="n">
        <v>369927</v>
      </c>
      <c r="E9" s="10" t="n">
        <v>321409</v>
      </c>
      <c r="F9" s="11">
        <f>D9+E9</f>
        <v/>
      </c>
      <c r="G9" s="12">
        <f>IF($F$20=0,0,F9/$F$20)</f>
        <v/>
      </c>
    </row>
    <row r="10" ht="22" customHeight="1">
      <c r="A10" s="7" t="n">
        <v>2</v>
      </c>
      <c r="B10" s="8" t="n"/>
      <c r="C10" s="9" t="inlineStr">
        <is>
          <t>CIVIL WORKS</t>
        </is>
      </c>
      <c r="D10" s="10" t="n">
        <v>1264374</v>
      </c>
      <c r="E10" s="10" t="n">
        <v>1151760</v>
      </c>
      <c r="F10" s="11">
        <f>D10+E10</f>
        <v/>
      </c>
      <c r="G10" s="12">
        <f>IF($F$20=0,0,F10/$F$20)</f>
        <v/>
      </c>
    </row>
    <row r="11" ht="22" customHeight="1">
      <c r="A11" s="7" t="n">
        <v>3</v>
      </c>
      <c r="B11" s="8" t="n"/>
      <c r="C11" s="9" t="inlineStr">
        <is>
          <t>MASONRY</t>
        </is>
      </c>
      <c r="D11" s="10" t="n">
        <v>340510</v>
      </c>
      <c r="E11" s="10" t="n">
        <v>538282</v>
      </c>
      <c r="F11" s="11">
        <f>D11+E11</f>
        <v/>
      </c>
      <c r="G11" s="12">
        <f>IF($F$20=0,0,F11/$F$20)</f>
        <v/>
      </c>
    </row>
    <row r="12" ht="22" customHeight="1">
      <c r="A12" s="7" t="n">
        <v>4</v>
      </c>
      <c r="B12" s="8" t="n"/>
      <c r="C12" s="9" t="inlineStr">
        <is>
          <t>ARCHITECTURAL WORKS</t>
        </is>
      </c>
      <c r="D12" s="10" t="n">
        <v>969180</v>
      </c>
      <c r="E12" s="10" t="n">
        <v>1063790</v>
      </c>
      <c r="F12" s="11">
        <f>D12+E12</f>
        <v/>
      </c>
      <c r="G12" s="12">
        <f>IF($F$20=0,0,F12/$F$20)</f>
        <v/>
      </c>
    </row>
    <row r="13" ht="22" customHeight="1">
      <c r="A13" s="7" t="n">
        <v>5</v>
      </c>
      <c r="B13" s="8" t="n"/>
      <c r="C13" s="9" t="inlineStr">
        <is>
          <t>THERMAL &amp; MOISTURE PROTECTION</t>
        </is>
      </c>
      <c r="D13" s="10" t="n">
        <v>327697</v>
      </c>
      <c r="E13" s="10" t="n">
        <v>206637</v>
      </c>
      <c r="F13" s="11">
        <f>D13+E13</f>
        <v/>
      </c>
      <c r="G13" s="12">
        <f>IF($F$20=0,0,F13/$F$20)</f>
        <v/>
      </c>
    </row>
    <row r="14" ht="22" customHeight="1">
      <c r="A14" s="7" t="n">
        <v>6</v>
      </c>
      <c r="B14" s="8" t="n"/>
      <c r="C14" s="9" t="inlineStr">
        <is>
          <t>DOORS &amp; WINDOWS</t>
        </is>
      </c>
      <c r="D14" s="10" t="n">
        <v>500680</v>
      </c>
      <c r="E14" s="10" t="n">
        <v>713108</v>
      </c>
      <c r="F14" s="11">
        <f>D14+E14</f>
        <v/>
      </c>
      <c r="G14" s="12">
        <f>IF($F$20=0,0,F14/$F$20)</f>
        <v/>
      </c>
    </row>
    <row r="15" ht="22" customHeight="1">
      <c r="A15" s="7" t="n">
        <v>7</v>
      </c>
      <c r="B15" s="8" t="n"/>
      <c r="C15" s="9" t="inlineStr">
        <is>
          <t>PLUMBING</t>
        </is>
      </c>
      <c r="D15" s="10" t="n">
        <v>291045</v>
      </c>
      <c r="E15" s="10" t="n">
        <v>323601</v>
      </c>
      <c r="F15" s="11">
        <f>D15+E15</f>
        <v/>
      </c>
      <c r="G15" s="12">
        <f>IF($F$20=0,0,F15/$F$20)</f>
        <v/>
      </c>
    </row>
    <row r="16" ht="22" customHeight="1">
      <c r="A16" s="7" t="n">
        <v>8</v>
      </c>
      <c r="B16" s="8" t="n"/>
      <c r="C16" s="9" t="inlineStr">
        <is>
          <t>ELECTRICAL</t>
        </is>
      </c>
      <c r="D16" s="10" t="n">
        <v>772801</v>
      </c>
      <c r="E16" s="10" t="n">
        <v>656812</v>
      </c>
      <c r="F16" s="11">
        <f>D16+E16</f>
        <v/>
      </c>
      <c r="G16" s="12">
        <f>IF($F$20=0,0,F16/$F$20)</f>
        <v/>
      </c>
    </row>
    <row r="17" ht="22" customHeight="1">
      <c r="A17" s="7" t="n">
        <v>9</v>
      </c>
      <c r="B17" s="8" t="n"/>
      <c r="C17" s="9" t="inlineStr">
        <is>
          <t>FIRE PROTECTION SYSTEM</t>
        </is>
      </c>
      <c r="D17" s="10" t="n">
        <v>402918</v>
      </c>
      <c r="E17" s="10" t="n">
        <v>407656</v>
      </c>
      <c r="F17" s="11">
        <f>D17+E17</f>
        <v/>
      </c>
      <c r="G17" s="12">
        <f>IF($F$20=0,0,F17/$F$20)</f>
        <v/>
      </c>
    </row>
    <row r="18" ht="22" customHeight="1">
      <c r="A18" s="7" t="n">
        <v>10</v>
      </c>
      <c r="B18" s="8" t="n"/>
      <c r="C18" s="9" t="inlineStr">
        <is>
          <t>METAL WORKS / STEEL STRUCTURE ERECTION</t>
        </is>
      </c>
      <c r="D18" s="10" t="n">
        <v>213313</v>
      </c>
      <c r="E18" s="10" t="n">
        <v>175500</v>
      </c>
      <c r="F18" s="11">
        <f>D18+E18</f>
        <v/>
      </c>
      <c r="G18" s="12">
        <f>IF($F$20=0,0,F18/$F$20)</f>
        <v/>
      </c>
    </row>
    <row r="20" ht="26" customHeight="1">
      <c r="A20" s="13" t="inlineStr">
        <is>
          <t>TOTAL ESTIMATED CONTRACT PRICE</t>
        </is>
      </c>
      <c r="B20" s="14" t="n"/>
      <c r="C20" s="14" t="n"/>
      <c r="D20" s="15">
        <f>SUM(D9:D18)</f>
        <v/>
      </c>
      <c r="E20" s="15">
        <f>SUM(E9:E18)</f>
        <v/>
      </c>
      <c r="F20" s="15">
        <f>SUM(F9:F18)</f>
        <v/>
      </c>
      <c r="G20" s="16">
        <f>IF($F$20=0,0,F20/$F$20)</f>
        <v/>
      </c>
    </row>
    <row r="21">
      <c r="A21" s="7" t="inlineStr">
        <is>
          <t>Share of each building</t>
        </is>
      </c>
      <c r="B21" s="8" t="n"/>
      <c r="C21" s="8" t="n"/>
      <c r="D21" s="17">
        <f>IF($F$20=0,0,D20/$F$20)</f>
        <v/>
      </c>
      <c r="E21" s="17">
        <f>IF($F$20=0,0,E20/$F$20)</f>
        <v/>
      </c>
      <c r="F21" s="8" t="n"/>
      <c r="G21" s="8" t="n"/>
    </row>
    <row r="23">
      <c r="A23" s="18" t="inlineStr">
        <is>
          <t>Notes:</t>
        </is>
      </c>
    </row>
    <row r="24">
      <c r="A24" s="19" t="inlineStr">
        <is>
          <t>1.  All amounts are in Saudi Riyals (SAR).</t>
        </is>
      </c>
    </row>
    <row r="25">
      <c r="A25" s="19" t="inlineStr">
        <is>
          <t>2.  Rates are firm and include all labour, materials, plant, overheads and profit as described in the preambles of each division.</t>
        </is>
      </c>
    </row>
    <row r="26">
      <c r="A26" s="19" t="inlineStr">
        <is>
          <t>3.  Amounts are carried from the division summaries of BOQ-RAZEEN-A and BOQ-RAZEEN-B (client copies).</t>
        </is>
      </c>
    </row>
    <row r="27">
      <c r="A27" s="19" t="inlineStr">
        <is>
          <t>4.  Quantities are specific to each building.</t>
        </is>
      </c>
    </row>
  </sheetData>
  <mergeCells count="10">
    <mergeCell ref="A27:G27"/>
    <mergeCell ref="A6:B7"/>
    <mergeCell ref="A26:G26"/>
    <mergeCell ref="A24:G24"/>
    <mergeCell ref="A21:C21"/>
    <mergeCell ref="C6:C7"/>
    <mergeCell ref="A25:G25"/>
    <mergeCell ref="A20:C20"/>
    <mergeCell ref="A5:G5"/>
    <mergeCell ref="A23:G2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2026-09-15T19:48:01Z</dcterms:created>
  <dcterms:modified xsi:type="dcterms:W3CDTF">2026-09-15T19:48:01Z</dcterms:modified>
</cp:coreProperties>
</file>