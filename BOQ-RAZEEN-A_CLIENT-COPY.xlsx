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E:\AOC estimation work\razzen\RE__Fwd__ALSEEF_BOQ_Building_B\RE_ Fwd_ ALSEEF BOQ Building B\"/>
    </mc:Choice>
  </mc:AlternateContent>
  <xr:revisionPtr revIDLastSave="0" documentId="8_{C3DD794C-18AA-E449-9167-7915B4F8260F}" xr6:coauthVersionLast="47" xr6:coauthVersionMax="47" xr10:uidLastSave="{00000000-0000-0000-0000-000000000000}"/>
  <bookViews>
    <workbookView xWindow="-120" yWindow="-120" windowWidth="29040" windowHeight="15720" xr2:uid="{00000000-000D-0000-FFFF-FFFF00000000}"/>
  </bookViews>
  <sheets>
    <sheet name="Div.1.A" sheetId="1" r:id="rId1"/>
    <sheet name="Div.2.A" sheetId="2" r:id="rId2"/>
    <sheet name="Div.3.A" sheetId="3" r:id="rId3"/>
    <sheet name="Div.4.A" sheetId="4" r:id="rId4"/>
    <sheet name="Div.5.A" sheetId="5" r:id="rId5"/>
    <sheet name="Div.6.A" sheetId="6" r:id="rId6"/>
    <sheet name="Div.7.A" sheetId="7" r:id="rId7"/>
    <sheet name="Div.8.A" sheetId="8" r:id="rId8"/>
    <sheet name="Div.9.A" sheetId="9" r:id="rId9"/>
    <sheet name="Div.10.A" sheetId="10" r:id="rId10"/>
    <sheet name="SUMMARY" sheetId="11" r:id="rId11"/>
  </sheets>
  <definedNames>
    <definedName name="_Order1" hidden="1">255</definedName>
    <definedName name="AA">#REF!</definedName>
    <definedName name="ac">#REF!</definedName>
    <definedName name="acc">#REF!</definedName>
    <definedName name="ALAA">#REF!</definedName>
    <definedName name="bw">#REF!</definedName>
    <definedName name="car">#REF!</definedName>
    <definedName name="concrete">#REF!</definedName>
    <definedName name="COVER">#REF!</definedName>
    <definedName name="D">#REF!</definedName>
    <definedName name="DDD">#REF!</definedName>
    <definedName name="elec">#REF!</definedName>
    <definedName name="excavation">#REF!</definedName>
    <definedName name="fgfbnbfgh">#REF!</definedName>
    <definedName name="finish">#REF!</definedName>
    <definedName name="KING">#REF!</definedName>
    <definedName name="masonary">#REF!</definedName>
    <definedName name="metal">#REF!</definedName>
    <definedName name="plm">#REF!</definedName>
    <definedName name="PR">#REF!</definedName>
    <definedName name="_xlnm.Print_Area" localSheetId="0">'Div.1.A'!$A$1:$G$25</definedName>
    <definedName name="_xlnm.Print_Area" localSheetId="9">'Div.10.A'!$A$1:$G$21</definedName>
    <definedName name="_xlnm.Print_Area" localSheetId="1">'Div.2.A'!$A$1:$G$42</definedName>
    <definedName name="_xlnm.Print_Area" localSheetId="2">'Div.3.A'!$A$1:$G$25</definedName>
    <definedName name="_xlnm.Print_Area" localSheetId="3">'Div.4.A'!$A$1:$G$33</definedName>
    <definedName name="_xlnm.Print_Area" localSheetId="4">'Div.5.A'!$A$1:$G$30</definedName>
    <definedName name="_xlnm.Print_Area" localSheetId="5">'Div.6.A'!$A$1:$G$33</definedName>
    <definedName name="_xlnm.Print_Area" localSheetId="6">'Div.7.A'!$A$1:$G$135</definedName>
    <definedName name="_xlnm.Print_Area" localSheetId="7">'Div.8.A'!$A$1:$G$239</definedName>
    <definedName name="_xlnm.Print_Area" localSheetId="8">'Div.9.A'!$A$1:$G$143</definedName>
    <definedName name="_xlnm.Print_Area" localSheetId="10">SUMMARY!$A$1:$G$29</definedName>
    <definedName name="_xlnm.Print_Titles" localSheetId="6">'Div.7.A'!$1:$6</definedName>
    <definedName name="_xlnm.Print_Titles" localSheetId="7">'Div.8.A'!$1:$6</definedName>
    <definedName name="_xlnm.Print_Titles" localSheetId="8">'Div.9.A'!$1:$6</definedName>
    <definedName name="_xlnm.Print_Titles" localSheetId="10">SUMMARY!$1:$7</definedName>
    <definedName name="RE">#REF!</definedName>
    <definedName name="roof">#REF!</definedName>
    <definedName name="sb">#REF!</definedName>
    <definedName name="soil">#REF!</definedName>
    <definedName name="YT">#REF!</definedName>
    <definedName name="Z_A96B7593_BD8C_4E03_BB74_0B9C4710A264_.wvu.Cols" localSheetId="6" hidden="1">'Div.7.A'!#REF!</definedName>
    <definedName name="Z_A96B7593_BD8C_4E03_BB74_0B9C4710A264_.wvu.Cols" localSheetId="7" hidden="1">'Div.8.A'!#REF!</definedName>
    <definedName name="Z_A96B7593_BD8C_4E03_BB74_0B9C4710A264_.wvu.Cols" localSheetId="8" hidden="1">'Div.9.A'!#REF!</definedName>
    <definedName name="Z_A96B7593_BD8C_4E03_BB74_0B9C4710A264_.wvu.PrintArea" localSheetId="6" hidden="1">'Div.7.A'!$A$1:$G$135</definedName>
    <definedName name="Z_A96B7593_BD8C_4E03_BB74_0B9C4710A264_.wvu.PrintArea" localSheetId="7" hidden="1">'Div.8.A'!$A$1:$G$283</definedName>
    <definedName name="Z_A96B7593_BD8C_4E03_BB74_0B9C4710A264_.wvu.PrintArea" localSheetId="8" hidden="1">'Div.9.A'!$A$1:$G$187</definedName>
    <definedName name="Z_A96B7593_BD8C_4E03_BB74_0B9C4710A264_.wvu.PrintTitles" localSheetId="6" hidden="1">'Div.7.A'!$A$1:$IV$6</definedName>
    <definedName name="Z_A96B7593_BD8C_4E03_BB74_0B9C4710A264_.wvu.PrintTitles" localSheetId="7" hidden="1">'Div.8.A'!$A$1:$IV$6</definedName>
    <definedName name="Z_A96B7593_BD8C_4E03_BB74_0B9C4710A264_.wvu.PrintTitles" localSheetId="8" hidden="1">'Div.9.A'!$A$1:$IV$6</definedName>
  </definedNames>
  <calcPr calcId="191028"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A33" authorId="0" shapeId="0" xr:uid="{36BD8351-D392-4C03-84D1-D3FFA37341C9}">
      <text>
        <r>
          <rPr>
            <b/>
            <sz val="9"/>
            <color indexed="81"/>
            <rFont val="Tahoma"/>
            <charset val="1"/>
          </rPr>
          <t>DWG REVIEW: item no. was numeric 2.1 (duplicate of 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A28" authorId="0" shapeId="0" xr:uid="{CF905BB1-130F-44A1-8CE0-4377016B46A0}">
      <text>
        <r>
          <rPr>
            <b/>
            <sz val="9"/>
            <color indexed="81"/>
            <rFont val="Tahoma"/>
            <charset val="1"/>
          </rPr>
          <t>DWG REVIEW: item number was missing.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E106" authorId="0" shapeId="0" xr:uid="{E68A5F44-F08F-484A-B5AD-C1A53EAEB0FF}">
      <text>
        <r>
          <rPr>
            <b/>
            <sz val="9"/>
            <color indexed="81"/>
            <rFont val="Tahoma"/>
            <charset val="1"/>
          </rPr>
          <t>DWG REVIEW: was 1. Rain drainage site plan PL-02 shows 17 nos roof drains (RD).</t>
        </r>
      </text>
    </comment>
  </commentList>
</comments>
</file>

<file path=xl/sharedStrings.xml><?xml version="1.0" encoding="utf-8"?>
<sst xmlns="http://schemas.openxmlformats.org/spreadsheetml/2006/main" count="1038" uniqueCount="623">
  <si>
    <t>Project:</t>
  </si>
  <si>
    <t>Commercial building</t>
  </si>
  <si>
    <t>Location:</t>
  </si>
  <si>
    <t>Al-DAMMAM , KSA</t>
  </si>
  <si>
    <t>Owner:</t>
  </si>
  <si>
    <t>Subject:</t>
  </si>
  <si>
    <t>Division 1A - EARTHWORKS</t>
  </si>
  <si>
    <t>DIV. #</t>
  </si>
  <si>
    <t>Description</t>
  </si>
  <si>
    <t>Unit</t>
  </si>
  <si>
    <t>Qty.</t>
  </si>
  <si>
    <t>Unit Price</t>
  </si>
  <si>
    <t>Total</t>
  </si>
  <si>
    <t>EARTHWORKS</t>
  </si>
  <si>
    <t>Preambles</t>
  </si>
  <si>
    <t>Rates and prices in this BOQ shall be deemed to include all costs necessary for the execution of the Works  which includes but not limited to the following</t>
  </si>
  <si>
    <t>1. Cost of temporary and permanent works
2. All direct costs including labour, plant, materials, sub contractors, and the like
3. All indirect costs and preliminaries including Contractor's accomodations، offices, indirect labour, project sign board and equipment, superintendents and supervision staff, cost of bonds and insurances,waste containers.
4. Contractor's overheads and profit margins.
5. Coordination with other contractors and handing over the site to them.
6. Site security fencing and the like
7. All engineering works including design of  shop drawings,material and other submittals in compliance with the specifications.
8. Compliance with all other requirements as per the Contract Documents.</t>
  </si>
  <si>
    <t>Excavation</t>
  </si>
  <si>
    <r>
      <rPr>
        <sz val="12"/>
        <color indexed="8"/>
        <rFont val="Times New Roman"/>
        <charset val="134"/>
      </rPr>
      <t>Bulk Excavation in all type of soil (except rock) according to the substructure system limit indicated on the approved design drawings and in accordance to specifications and provided Geo-technical report, according to "Soil Report Ref. GT 1839-3339-24" Works also shall include the disposal of any surplus excavated materials off site subjected to the engineer instructions/</t>
    </r>
    <r>
      <rPr>
        <sz val="12"/>
        <color rgb="FFFF0000"/>
        <rFont val="Times New Roman"/>
        <charset val="134"/>
      </rPr>
      <t>contractor is responsible for submitting  a compaction test report with minimum compaction of 95%.</t>
    </r>
  </si>
  <si>
    <t>1.1.1</t>
  </si>
  <si>
    <t>Excavation (site leveling &amp; waste removal )</t>
  </si>
  <si>
    <t>M3</t>
  </si>
  <si>
    <t>Backfilling
-Around the tank and above footing up to bottom of basecoarse layer below sidewalk
-Using  natural  clean  sand (A-1 accoring to AASHTO) according  to specifications
-Compaction  on layers, 30 cm for each. Until reach to  95%  relative compation from maximum dry density for each layer. as  per specifications by heavy roller - 15 ton min.
-Item includes compaction test as per specefications.</t>
  </si>
  <si>
    <t>Backfill and soil replacement according to "Soil Report Ref. 3891".  density all as per soil report and specifications.</t>
  </si>
  <si>
    <t>1.2.1</t>
  </si>
  <si>
    <r>
      <rPr>
        <sz val="11"/>
        <rFont val="Times New Roman"/>
        <charset val="134"/>
      </rPr>
      <t>Backfilling under footing (</t>
    </r>
    <r>
      <rPr>
        <b/>
        <sz val="11"/>
        <rFont val="Times New Roman"/>
        <charset val="134"/>
      </rPr>
      <t>Soil Replacment</t>
    </r>
    <r>
      <rPr>
        <sz val="11"/>
        <rFont val="Times New Roman"/>
        <charset val="134"/>
      </rPr>
      <t>) Backfilling for site (A-1 accoring to AASHTO) according  to specifications according to site levels combantion test 95% every 30 cm with all neccecry works and as per soil test</t>
    </r>
  </si>
  <si>
    <t>1.2.2</t>
  </si>
  <si>
    <t>Backfilling Inbetween Footing 
&amp; Grade Beam (sand) &amp; SITE</t>
  </si>
  <si>
    <t>1.2.3</t>
  </si>
  <si>
    <t>Compacted subbase layer, 20 cm thick, under slab-on-grade for all shops, sales areas &amp; service areas (A1B) – for site.</t>
  </si>
  <si>
    <t>TOTAL COST FOR DIVISION 1A: EARHTWORKS (To Summary)</t>
  </si>
  <si>
    <t>Division 2A - CIVILWORKS</t>
  </si>
  <si>
    <t>CIVIL WORKS</t>
  </si>
  <si>
    <t xml:space="preserve"> Concrete</t>
  </si>
  <si>
    <r>
      <rPr>
        <sz val="14"/>
        <color indexed="8"/>
        <rFont val="Times New Roman"/>
        <charset val="134"/>
      </rPr>
      <t>The contractor is referred to the specifications and drawings for all details related to the works and he is to include but not limited to for complying with all the requirements contained therein, whether or not they are specifically mentioned within the items. All Tender documents (Drawings, Bill of quantities, Specifications) are integrated documents and complete each other. Workshop drawings and frames for approval before supply and installation.</t>
    </r>
    <r>
      <rPr>
        <sz val="14"/>
        <color rgb="FFFF0000"/>
        <rFont val="Arial Narrow"/>
        <charset val="134"/>
      </rPr>
      <t>contractor must submit concrete test report.</t>
    </r>
  </si>
  <si>
    <t>Concrete</t>
  </si>
  <si>
    <t>Plain Concrete Under Footing (2500 KG/CM2), Type (V)</t>
  </si>
  <si>
    <t>Footing Reinforced Concrete (4500 KG/CM2), Type (V)</t>
  </si>
  <si>
    <t>Pedestal (Height 1.00 m) (4500 KG/CM2), Type (V)</t>
  </si>
  <si>
    <t>Plain Concrete Under Grade Beam (3000 KG/CM2), Type (V)</t>
  </si>
  <si>
    <t>Grade Beam (4500 KG/CM2), Type (V)</t>
  </si>
  <si>
    <t>Slab On Grade (3000 KG/CM2), Type (I)</t>
  </si>
  <si>
    <t>Stiffener Column (Height 3.00 m) (4500 KG/CM2), Type (I)</t>
  </si>
  <si>
    <t>Bond Beam &amp; Slab (3000 KG/CM2), Type (I)</t>
  </si>
  <si>
    <t>WATER TANKS Footing Reinforced Concrete (4500 KG/CM2), Type (V)</t>
  </si>
  <si>
    <t>WATER TANKS Walls Reinforced Concrete (4500 KG/CM2), Type (V)</t>
  </si>
  <si>
    <t>WATER TANKS Roof Reinforced Concrete (4500 KG/CM2), Type (V)</t>
  </si>
  <si>
    <t>Protection Screed, 50mm thick, , Type (I) as per Drawings and Specification</t>
  </si>
  <si>
    <t>M2</t>
  </si>
  <si>
    <t>Plain concrete for site (2500 KG/CM2), Type (V)</t>
  </si>
  <si>
    <t>TOTAL COST FOR DIVISION 2A: CIVILWORKS (To Summary)</t>
  </si>
  <si>
    <t>Division 3A -MASONRYWORKS</t>
  </si>
  <si>
    <t>MASONRY</t>
  </si>
  <si>
    <t>Concrete blocks bedded and jointed in cement sand mortar (1:3), including all necessary lintel beams, stiffener columns and reinforcement steel bars, solid block at jambs and all necessary ties, complete as shown on drawings.</t>
  </si>
  <si>
    <t>200 mm thick walls   ConcreteBlock for pumprooms-site rooms walls</t>
  </si>
  <si>
    <t>total pcs=2500</t>
  </si>
  <si>
    <t>300 mm thick walls  insulated ConcreteBlock for exterior walls</t>
  </si>
  <si>
    <t xml:space="preserve">building a =1301m2- 18950 pcs </t>
  </si>
  <si>
    <t>TOTAL COST FOR DIVISION 3A: MASONRYWORKS (To Summary)</t>
  </si>
  <si>
    <t>Division 4A - ARCHWORKS</t>
  </si>
  <si>
    <t>ARCHITECTURAL WORKS</t>
  </si>
  <si>
    <t>CONTRACTOR SHALL PROVIDE MATERIAL SAMPLES FOR ALL ITEM WITH SPECS FOR APPROVAL FROM OWNER &amp; CONSULTANT</t>
  </si>
  <si>
    <t>FLOORING WORKS</t>
  </si>
  <si>
    <t>4.1.1</t>
  </si>
  <si>
    <t>SUPPLY AND APPLY 2 MM THICK SELF-LEVELING EPOXY FLOORING SYSTEM (SIKA, FOSROC, OR APPROVED EQUIVALENT) FOR PUMP ROOMS, INCLUDING SURFACE PREPARATION BY MECHANICAL GRINDING, APPLICATION OF EPOXY PRIMER, SELF-LEVELING EPOXY COAT, AND FINAL SEALING COAT. COMPLETE IN ALL RESPECTS AS PER MANUFACTURER’S SPECIFICATIONS AND SITE REQUIREMENTS.</t>
  </si>
  <si>
    <t>Sq.M</t>
  </si>
  <si>
    <t>4.1.2</t>
  </si>
  <si>
    <t>SUPPLY &amp; INSTALL GRAVEL BACKFILLING FOR SCECO ROOMS</t>
  </si>
  <si>
    <t>4.1.3</t>
  </si>
  <si>
    <t>4.1.4</t>
  </si>
  <si>
    <t>4.1.5</t>
  </si>
  <si>
    <t>SUPPLY &amp; INSTALL CONRETE CURB STONE (300*150*500) FOR PAVEMENT SIDE WALKS</t>
  </si>
  <si>
    <t>L.M</t>
  </si>
  <si>
    <t>4.1.6</t>
  </si>
  <si>
    <t>SUPPLY &amp; INTALL INTERLOCK FLOORING 20*10*6 CM FOR CAR PARKING &amp; PAVING AREAS INCLUDING COMPACTED SUBBASE LAYER, 20 CM THICK, UNDER ALL INTERLOCK AREAS (A1B) - FOR SITE. THE WORKS INCLUDE ALL NECESSARY WORKS TO COMPLETE.</t>
  </si>
  <si>
    <t>4.1.7</t>
  </si>
  <si>
    <t>SUPPLY &amp; INTALL INTERLOCK FLOORING 20*10*8 CM FOR CAR PARKING &amp; PAVING AREAS INCLUDING COMPACTED SUBBASE LAYER, 20 CM THICK, UNDER ALL INTERLOCK AREAS (A1B) - FOR SITE. THE WORKS INCLUDE ALL NECESSARY WORKS TO COMPLETE.</t>
  </si>
  <si>
    <t>4.1.8</t>
  </si>
  <si>
    <t>SUPPLY &amp; INSTALL PORCLIEN FLOORING 600*600*11 FOR SERVICE ROOMS INDIAN ORIGIN</t>
  </si>
  <si>
    <t>4.1.9</t>
  </si>
  <si>
    <t>SUPPLY &amp; INSTALL PORCLIEN SKIRTING 600*100*11 FOR SERVICE ROOMS INDIAN ORIGIN</t>
  </si>
  <si>
    <t>4.2.1</t>
  </si>
  <si>
    <r>
      <rPr>
        <b/>
        <sz val="12"/>
        <color rgb="FF000000"/>
        <rFont val="Times New Roman"/>
        <charset val="134"/>
      </rPr>
      <t>EXTERNAL PLASTERING WORKS</t>
    </r>
    <r>
      <rPr>
        <sz val="12"/>
        <color indexed="8"/>
        <rFont val="Times New Roman"/>
        <charset val="134"/>
      </rPr>
      <t>, INCLUDING SURFACE PREPARATION, CEMENT-SAND PLASTER APPLICATION, LEVELING WITH BOUGHS AND STRINGS, INSTALLATION OF GALVANISED ANGLE BEADS AT ALL CORNERS, REINFORCEMENT MESH AT COLUMNS, BEAMS, AND ABOVE ELECTRICAL, PLUMBING &amp; HVAC PIPES, AND PROVIDING SMOOTH UNIFORM FINISH AS PER INDUSTRY STANDARDS. COMPLETE IN ALL RESPECTS.</t>
    </r>
  </si>
  <si>
    <t>4.2.2</t>
  </si>
  <si>
    <r>
      <rPr>
        <b/>
        <sz val="12"/>
        <color rgb="FF000000"/>
        <rFont val="Times New Roman"/>
        <charset val="134"/>
      </rPr>
      <t>PAINTING FOR OUTDOOR WALLS (RAL 9001)</t>
    </r>
    <r>
      <rPr>
        <sz val="12"/>
        <color indexed="8"/>
        <rFont val="Times New Roman"/>
        <charset val="134"/>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</si>
  <si>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4.2.3</t>
  </si>
  <si>
    <r>
      <rPr>
        <b/>
        <sz val="12"/>
        <color rgb="FF000000"/>
        <rFont val="Times New Roman"/>
        <charset val="134"/>
      </rPr>
      <t>PAINTING FOR OUTDOOR WALLS (RAL1011)</t>
    </r>
    <r>
      <rPr>
        <sz val="12"/>
        <color indexed="8"/>
        <rFont val="Times New Roman"/>
        <charset val="134"/>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</si>
  <si>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EXTERNAL CLADDING</t>
  </si>
  <si>
    <t>TOTAL COST FOR DIVISION 4A: ARCHWORKS (To Summary)</t>
  </si>
  <si>
    <t>Division 5A - THERMALWORKS</t>
  </si>
  <si>
    <t xml:space="preserve">THERMAL AND MOISTURE PROTECTION </t>
  </si>
  <si>
    <t>The Contractor is referred to the specifications and drawings for all details related to the works of this division and he is to include but not limited to for complying with all the requirements contained therein, whether or ont they are specifically mentioned within the item. Scope of work will be: shop drawings issuem systems supply, installation and testing. All Tender documents( Drawings, Bill of quantities, Specifications) are integrated documents and complete each other.</t>
  </si>
  <si>
    <t>Waterproofing liquid membranes for all concrete foundations, Mechanical/Chemical Bonded
(Fosroc/Grace) Water proofing system, as per Drawings and Specification</t>
  </si>
  <si>
    <t>For Raft, Lift Pit &amp; Retainging Wall</t>
  </si>
  <si>
    <t>LS</t>
  </si>
  <si>
    <t>External faces of Raft, Lift Pit &amp; Retaining walls</t>
  </si>
  <si>
    <t>For Raft &amp; Lift Pit</t>
  </si>
  <si>
    <t>Polythene sheet, 400 gauge, under blinding</t>
  </si>
  <si>
    <t>Horizontally laid under blinding</t>
  </si>
  <si>
    <r>
      <rPr>
        <sz val="12"/>
        <rFont val="Times New Roman"/>
        <charset val="134"/>
      </rPr>
      <t xml:space="preserve">Supply and apply bituminous waterproofing materials for roofs and foundations of electrical rooms and pump-site rooms.
Materials must be submitted for approval before execution.
</t>
    </r>
    <r>
      <rPr>
        <sz val="8"/>
        <rFont val="Times New Roman"/>
        <charset val="134"/>
      </rPr>
      <t xml:space="preserve">
</t>
    </r>
    <r>
      <rPr>
        <sz val="12"/>
        <rFont val="Times New Roman"/>
        <charset val="134"/>
      </rPr>
      <t>Work includes:
-Apply 1 coat of primer.
-Apply 2 coats of bituminous layer.
-Install 2 layers of 4mm membrane with 10 cm overlaps.
-Include skirting 30 cm all around.</t>
    </r>
  </si>
  <si>
    <t>Waterproofing of Water Tanks (internal and external)
Scope of Work:
Waterproofing of water tanks to prevent leakage and protect the concrete. Includes the following steps:
External Waterproofing:
Build a solid masonry wall (20×20×40 cm blocks) around the tank (from the outside).
Apply 2 coats of bitumen (primer not needed since 2 coats are specified).
Install 2 layers of 4mm bituminous membrane with 10 cm overlaps (Membrane).
Apply a protective layer over the membrane to safeguard it during backfilling and other construction works.
Internal Waterproofing (after concrete works):
Prepare and clean the concrete surface thoroughly from dust and debris.
Apply tank-grade epoxy internal waterproofing with 1 mm thickness.
Ensure full coverage of all surfaces and corners.
Notes:
All materials must be submitted for approval before execution.
Includes all ancillary works such as surface preparation, membrane protection, and quality assurance of application.</t>
  </si>
  <si>
    <t>INSULATION FOR SANDWICH PANELROOF FLOORS 10CM (FOAM)</t>
  </si>
  <si>
    <t>contractor responsible for making all neccessery water tests to prevent any possible leakage</t>
  </si>
  <si>
    <t>TOTAL COST FOR DIVISION 5A: THERMALWORKS (To Summary)</t>
  </si>
  <si>
    <t>Division 6A - GLASSWORKS</t>
  </si>
  <si>
    <t>DOORS &amp; WINDOWS</t>
  </si>
  <si>
    <t xml:space="preserve">ALL DOORS AND ALUMINIUM (RALL1001) ARE FRAMLESS WITH U CHANEL FRAMES CONTRACTOR SUBMIT SAMBLES AND SHOPDRAWING OF GLASS AND ACCESSORIES </t>
  </si>
  <si>
    <t>BUILDING A</t>
  </si>
  <si>
    <t>(D/W01)  21500*3000 ALUMINIUM GLASS SWING DOUBLE DOOR WITH FIXED GLASS @ SHOPS ENTRANCE (6mm GLASS-12mm GAP-6mm GLASS) AS PER DRAWING</t>
  </si>
  <si>
    <t>NO.</t>
  </si>
  <si>
    <t>(D/W02)  18800*3000 ALUMINIUM GLASS SWING DOUBLE DOOR WITH FIXED GLASS @ SHOPS ENTRANCE (6mm GLASS-12mm GAP-6mm GLASS) AS PER DRAWING</t>
  </si>
  <si>
    <t>(D/W03)  10800*6500 ALUMINIUM GLASS SWING DOUBLE DOOR WITH FIXED GLASS @ SHOPS ENTRANCE (6mm GLASS-12mm GAP-6mm GLASS) AS PER DRAWING</t>
  </si>
  <si>
    <t>(D/W04)  3000*6500 ALUMINIUM GLASS SWING DOUBLE DOOR WITH FIXED GLASS @ SHOPS ENTRANCE (6mm GLASS-12mm GAP-6mm GLASS) AS PER DRAWING</t>
  </si>
  <si>
    <t>(W01)  22000*3000 ALUMINIUM GLASS FIXED GLASS @ SHOPS (6mm GLASS-12mm GAP-6mm GLASS) AS PER DRAWING</t>
  </si>
  <si>
    <t>(W02)  15000*3000 ALUMINIUM GLASS FIXED GLASS @ SHOPS (6mm GLASS-12mm GAP-6mm GLASS) AS PER DRAWING</t>
  </si>
  <si>
    <t>(W03)  2000*2500 ALUMINIUM GLASS FIXED GLASS @ SHOPS (6mm GLASS-12mm GAP-6mm GLASS) AS PER DRAWING</t>
  </si>
  <si>
    <t>(D1) 2000*2500 DOUBLE LEAF SEMI SOLID WOOD  WOODEN SWING DOOR @ SUPER MARKET AS PER DRAWING</t>
  </si>
  <si>
    <t>(D2) 1100*2400 SINGLE LEAF SEMI SOLID WOOD  WOODEN SWING DOOR @ SUPER MARKET AS PER DRAWING</t>
  </si>
  <si>
    <t>TOTAL COST FOR DIVISION 6A: GLASSWORKS (To Summary)</t>
  </si>
  <si>
    <t>Division A7 - Plumbing</t>
  </si>
  <si>
    <t>7A</t>
  </si>
  <si>
    <t>Supply, install and test of complete plumbing accessories, pipes &amp; fittings, excavation, backfilling, isolation, valves and other related works to have satisfactory operation of  the  whole  system.</t>
  </si>
  <si>
    <t>Note:All plumbing materials and equipments  tobe submitted for approval prior to installation.</t>
  </si>
  <si>
    <t>A</t>
  </si>
  <si>
    <t>SANITARY FIXTURES  (AMERICAN STANDARD OR APPROVED     EQUAL)   &amp;      FITTINGS,   COMPLETEWITH   MIXER,  FLUSH    SYSTEM,     ISOLATION    VALVES    AND     ALL     REQUIRED    ACCESSORIES.</t>
  </si>
  <si>
    <t>Mirror Shelf</t>
  </si>
  <si>
    <t>Soap Holder</t>
  </si>
  <si>
    <t>Towel Rail</t>
  </si>
  <si>
    <t>Toilet  Paper  Holder</t>
  </si>
  <si>
    <t>Robe Hook</t>
  </si>
  <si>
    <t>Hand Dryer</t>
  </si>
  <si>
    <t>A.1</t>
  </si>
  <si>
    <t>Western water closet (WWC), complete with accessories, flush tank  type ,american style.</t>
  </si>
  <si>
    <t>NO</t>
  </si>
  <si>
    <t>A.2</t>
  </si>
  <si>
    <t xml:space="preserve">Lavatory vanity, Counter top, complete with accessories. </t>
  </si>
  <si>
    <t>A.3</t>
  </si>
  <si>
    <t xml:space="preserve">Lavatory vanity,  pedestal (LAV), complete with accessories. </t>
  </si>
  <si>
    <t>A.4</t>
  </si>
  <si>
    <t>Shower Tray with Mixer Faucet and Shower Head</t>
  </si>
  <si>
    <t>A.5</t>
  </si>
  <si>
    <t xml:space="preserve"> Mixer  for (LAV) </t>
  </si>
  <si>
    <t>B</t>
  </si>
  <si>
    <t>POTABLE AND HOT WATER EQUIPMENT AND ACCESSORIES.</t>
  </si>
  <si>
    <t>B.1</t>
  </si>
  <si>
    <t xml:space="preserve">Supply, install, connect and test central electric water heater (EWH) with 50 liters capacity </t>
  </si>
  <si>
    <t>B.2</t>
  </si>
  <si>
    <t>Water Hammer Arrester (1/2" Dia.) - Wattsor approved equal</t>
  </si>
  <si>
    <t>B.3</t>
  </si>
  <si>
    <t>Perennial Spray with Vacuum Breaker (1/2" Dia.) - Grohe or approved equal.</t>
  </si>
  <si>
    <t>C</t>
  </si>
  <si>
    <t>DOMESTIC WATER PIPING</t>
  </si>
  <si>
    <t>Supply and installation of pipe and fittings; CPVC Sch. 80; ASTM D1785; DOMESTIC WATER PIPING
including elbows  GATE valves, waterhammer  arrestor and connections…Amarflex Rubber insulation  ON HOT WATER LINES etc . (SAPPCO) or approved equal</t>
  </si>
  <si>
    <t>C.1</t>
  </si>
  <si>
    <t>76mm Ø CPVC pipe schedule 80</t>
  </si>
  <si>
    <t>LM</t>
  </si>
  <si>
    <t>C.2</t>
  </si>
  <si>
    <t>63mm  Ø CPVC pipe schedule 80</t>
  </si>
  <si>
    <t>C.3</t>
  </si>
  <si>
    <t>50mm Ø CPVC pipe schedule 80</t>
  </si>
  <si>
    <t>C.4</t>
  </si>
  <si>
    <t>25mm  Ø CPVC pipe schedule 80</t>
  </si>
  <si>
    <t>C.5</t>
  </si>
  <si>
    <t>Domestic water fiber glass tank 3 m3  insulated fiberglass  water tank with float switch interconnected to a booster pump at ROOF complete with valves, check valves, strainer as shown on the drawing.</t>
  </si>
  <si>
    <t>D.</t>
  </si>
  <si>
    <t>WATER PUMPS</t>
  </si>
  <si>
    <t>D.1</t>
  </si>
  <si>
    <t xml:space="preserve">Supply, install, connect, test and commission Transfer pump (TP-01) (TP-02)  complete including pumps, valves, control panel, spare parts, accessories and all ancillary work as specified and as shown on drawings.  set 1duty &amp; 1stand by ( per pump set ) , VFD controlled   at  PUMP ROOM.   (GRUNDFOS) or approved equal                                                                           </t>
  </si>
  <si>
    <t>D.2</t>
  </si>
  <si>
    <t>Supply, install, connect, test and commission BOOSTER  pump (PR-01),(PR-02),(PR-03),(PR-04),(PR-05),(PR-06)  complete including pumps, valves, control panel, spare parts, accessories and all ancillary work as specified and as shown on drawings. set 1duty   at upper roof.  (GRUNDFOS) or approved equal</t>
  </si>
  <si>
    <t>E</t>
  </si>
  <si>
    <t>SANITARY WASTE PIPING</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</si>
  <si>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excavation, backfilling, bedding shall be considered within the unit prices of pipes. (SAPPCO) or approved equal</t>
  </si>
  <si>
    <t>E.1</t>
  </si>
  <si>
    <t>160mm Ø PVC pipe, class 4</t>
  </si>
  <si>
    <t>E.2</t>
  </si>
  <si>
    <t>110mm Ø PVC pipe, class 4</t>
  </si>
  <si>
    <t>E.3</t>
  </si>
  <si>
    <t xml:space="preserve">75mm Ø PVC pipe, class 4  FOR HVAC SELVEE PIPES FROM SHOPS TO ROOF TOP </t>
  </si>
  <si>
    <t>E.4</t>
  </si>
  <si>
    <t xml:space="preserve">GROUND Clean Out : </t>
  </si>
  <si>
    <t xml:space="preserve">160mm Ø PVC </t>
  </si>
  <si>
    <t xml:space="preserve">110mm Ø PVC </t>
  </si>
  <si>
    <t>F</t>
  </si>
  <si>
    <t xml:space="preserve">TANKS AND Manhole </t>
  </si>
  <si>
    <t>F.1</t>
  </si>
  <si>
    <t xml:space="preserve">Sewer manhole with standard traffic type cast iron manhole cover and frame including foundation bed and associated earthworks </t>
  </si>
  <si>
    <t xml:space="preserve">Manholes with depth 0.80 m depth &amp; (0.60*0.60) m² internal daim.      </t>
  </si>
  <si>
    <t>F.2</t>
  </si>
  <si>
    <t>Supply &amp; Installation of COVER WATER TANKS as specified &amp; details drawings complete with the cast-iron cover heavy duty</t>
  </si>
  <si>
    <t>G</t>
  </si>
  <si>
    <t xml:space="preserve">  STORM DRAINAGE PIPING </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</si>
  <si>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shall be considered within the unit prices of pipes. (SAPPCO) or approved equal</t>
  </si>
  <si>
    <t>G.1</t>
  </si>
  <si>
    <t>160 mm Ø PVC Pipe and Fittings (PVC, Sch. 40, ASTM 2665)</t>
  </si>
  <si>
    <t>G.2</t>
  </si>
  <si>
    <t>110 mm Ø PVC Pipe and Fittings (PVC, Sch. 40, ASTM 2665)</t>
  </si>
  <si>
    <t>G.3</t>
  </si>
  <si>
    <t>Roof Drain 110mm Ø.   (Zurn) or approved equal</t>
  </si>
  <si>
    <t>G.4</t>
  </si>
  <si>
    <t xml:space="preserve"> Clean Out : </t>
  </si>
  <si>
    <t>H.1</t>
  </si>
  <si>
    <t>Supply, installation and testing of the following valves,required fittings with all necessary accessories as perapproved drawings and specifications.</t>
  </si>
  <si>
    <t>Gate Valve  (Manufacturer: NIBCO or approved equal).</t>
  </si>
  <si>
    <t>50MM Ø</t>
  </si>
  <si>
    <t>25MM Ø</t>
  </si>
  <si>
    <t>H.2</t>
  </si>
  <si>
    <t>WATER METERS FOR SHOPS  DOMESTIC WATER</t>
  </si>
  <si>
    <t>I</t>
  </si>
  <si>
    <t>IRRIGATION SYSTEM</t>
  </si>
  <si>
    <t xml:space="preserve"> supply and installation of irrigation system including ancillaries in accordance to architect's specifications and as required to make system operational.
Mainlines  ,Laterals ,and flow sensors, Backflow preventer ,Valves ,Sprinkler Heads ,Controllers , Waterproof splice kit  and Pumps; complete with driving motor and all necessary accessories and connections, electrical and control wirings, conduits and controlsIncluding trees, palm trees, agricultural properties, grass, ........etc</t>
  </si>
  <si>
    <t>LUM</t>
  </si>
  <si>
    <t>TOTAL COST FOR DIVISION 7A: PLUMBING (To Summary)</t>
  </si>
  <si>
    <t>Division A8 - Electrical</t>
  </si>
  <si>
    <t>DIVISION 16 - ELECTRICAL</t>
  </si>
  <si>
    <t xml:space="preserve">All the electrical works include related works which </t>
  </si>
  <si>
    <t>required to complete the work but not mentioned</t>
  </si>
  <si>
    <t xml:space="preserve">in here or not shown in drawings, such as  </t>
  </si>
  <si>
    <t xml:space="preserve">demolition, excavation, backfilling, concreting, </t>
  </si>
  <si>
    <t xml:space="preserve">drilling, labels of cables and panel boards, pipes, </t>
  </si>
  <si>
    <t>boxes, fasting devices, test and commissioning.</t>
  </si>
  <si>
    <t>Note</t>
  </si>
  <si>
    <t xml:space="preserve">All electrical works shall be constructed according </t>
  </si>
  <si>
    <t>to the SASO and latest SEC code.</t>
  </si>
  <si>
    <t>SITE WORK :-</t>
  </si>
  <si>
    <t>MAIN AND SUB MAIN POWER</t>
  </si>
  <si>
    <t xml:space="preserve">Main and Sub-Main Circuit: </t>
  </si>
  <si>
    <t>600/1000V XLPE multicore or single core copper</t>
  </si>
  <si>
    <t xml:space="preserve">cable in conduits including UPVC conduits, </t>
  </si>
  <si>
    <t>conductors, junction boxes, connection for</t>
  </si>
  <si>
    <t>feeders at various power loads</t>
  </si>
  <si>
    <t>as shown on drawings.</t>
  </si>
  <si>
    <t>1.1</t>
  </si>
  <si>
    <t>2X(4C-300 mm2+1X70 mm2G)</t>
  </si>
  <si>
    <t>1.2</t>
  </si>
  <si>
    <t>4C-95mm2+1X50mm2G</t>
  </si>
  <si>
    <t>1.3</t>
  </si>
  <si>
    <t>4C-185mm2+1X50mm2G</t>
  </si>
  <si>
    <t>1.4</t>
  </si>
  <si>
    <t>4C-50mm2+1X35mm2G</t>
  </si>
  <si>
    <t>1.5</t>
  </si>
  <si>
    <t>4C-35mm2+1X16mm2G</t>
  </si>
  <si>
    <t>1.6</t>
  </si>
  <si>
    <t>4C-25mm2+1X16mm2G</t>
  </si>
  <si>
    <t>1.7</t>
  </si>
  <si>
    <t>4C-10mm2+1X10mm2G</t>
  </si>
  <si>
    <t>Supply and install main distribution panelboards including circuit breakers, fixings and all assocciated works as required and as shown on drawings.</t>
  </si>
  <si>
    <t>2.1</t>
  </si>
  <si>
    <t>MDB-1</t>
  </si>
  <si>
    <t>2.2</t>
  </si>
  <si>
    <t>MDB-2</t>
  </si>
  <si>
    <t>2.3</t>
  </si>
  <si>
    <t>MDB-3</t>
  </si>
  <si>
    <t>2.4</t>
  </si>
  <si>
    <t>PK</t>
  </si>
  <si>
    <t>2.5</t>
  </si>
  <si>
    <t>LP-EX &amp;   LP-EX -2</t>
  </si>
  <si>
    <t>2.6</t>
  </si>
  <si>
    <t>PC-1</t>
  </si>
  <si>
    <t>2.7</t>
  </si>
  <si>
    <t>PC-2</t>
  </si>
  <si>
    <t>2.8</t>
  </si>
  <si>
    <t>PS-01</t>
  </si>
  <si>
    <t>2.9</t>
  </si>
  <si>
    <t>PS-02</t>
  </si>
  <si>
    <t>2.10</t>
  </si>
  <si>
    <t>PS-03</t>
  </si>
  <si>
    <t>2.11</t>
  </si>
  <si>
    <t>PS-04</t>
  </si>
  <si>
    <t>2.12</t>
  </si>
  <si>
    <t>PS-05</t>
  </si>
  <si>
    <t>2.13</t>
  </si>
  <si>
    <t>PS-06</t>
  </si>
  <si>
    <t>2.14</t>
  </si>
  <si>
    <t>PS-07</t>
  </si>
  <si>
    <t>2.15</t>
  </si>
  <si>
    <t>PS-08</t>
  </si>
  <si>
    <t>2.16</t>
  </si>
  <si>
    <t>PS-09</t>
  </si>
  <si>
    <t>2.17</t>
  </si>
  <si>
    <t>PS-10</t>
  </si>
  <si>
    <t>2.18</t>
  </si>
  <si>
    <t>PS-11</t>
  </si>
  <si>
    <t>2.19</t>
  </si>
  <si>
    <t>PS-12</t>
  </si>
  <si>
    <t>2.20</t>
  </si>
  <si>
    <t>PS-13</t>
  </si>
  <si>
    <t>2.21</t>
  </si>
  <si>
    <t>PS-14</t>
  </si>
  <si>
    <t>2.22</t>
  </si>
  <si>
    <t>PS-15</t>
  </si>
  <si>
    <t>2.23</t>
  </si>
  <si>
    <t>PS-16</t>
  </si>
  <si>
    <t>2.24</t>
  </si>
  <si>
    <t>PS-17</t>
  </si>
  <si>
    <t>2.25</t>
  </si>
  <si>
    <t>PS-18</t>
  </si>
  <si>
    <t>2.26</t>
  </si>
  <si>
    <t>PS-19</t>
  </si>
  <si>
    <t>2.27</t>
  </si>
  <si>
    <t>PS-20</t>
  </si>
  <si>
    <t>2.28</t>
  </si>
  <si>
    <t>PS-21</t>
  </si>
  <si>
    <t>2.29</t>
  </si>
  <si>
    <t>PS-22</t>
  </si>
  <si>
    <t>2.30</t>
  </si>
  <si>
    <t>PS-23</t>
  </si>
  <si>
    <t>2.31</t>
  </si>
  <si>
    <t>PS-24</t>
  </si>
  <si>
    <t>2.32</t>
  </si>
  <si>
    <t>PS-25</t>
  </si>
  <si>
    <t>2.33</t>
  </si>
  <si>
    <t>PS-26</t>
  </si>
  <si>
    <t>2.34</t>
  </si>
  <si>
    <t>PS-27</t>
  </si>
  <si>
    <t>2.35</t>
  </si>
  <si>
    <t>PS-28</t>
  </si>
  <si>
    <t>2.36</t>
  </si>
  <si>
    <t>PS-29</t>
  </si>
  <si>
    <t>2.37</t>
  </si>
  <si>
    <t>PS-30</t>
  </si>
  <si>
    <t>2.38</t>
  </si>
  <si>
    <t>PS-31</t>
  </si>
  <si>
    <t>2.39</t>
  </si>
  <si>
    <t>PS-32</t>
  </si>
  <si>
    <t>2.40</t>
  </si>
  <si>
    <t>PS-33</t>
  </si>
  <si>
    <t>2.41</t>
  </si>
  <si>
    <t>PS-34</t>
  </si>
  <si>
    <t>2.42</t>
  </si>
  <si>
    <t>PS-35</t>
  </si>
  <si>
    <t>2.43</t>
  </si>
  <si>
    <t>PS-36</t>
  </si>
  <si>
    <t>2.44</t>
  </si>
  <si>
    <t>PS-37</t>
  </si>
  <si>
    <t>2.45</t>
  </si>
  <si>
    <t>PS-38</t>
  </si>
  <si>
    <t>3</t>
  </si>
  <si>
    <t>Supply and install reinforced concrete  Hand</t>
  </si>
  <si>
    <t>Holes connected via duct banks, complete with</t>
  </si>
  <si>
    <t>hand hole bolted type metal cover, drain</t>
  </si>
  <si>
    <t>pipe outlet, including  trenching and backfilling</t>
  </si>
  <si>
    <t>for duct banks, conduits for power and</t>
  </si>
  <si>
    <t>communication cables in duct banks, tapes, all as</t>
  </si>
  <si>
    <t>required to suit locations as shown on drawings</t>
  </si>
  <si>
    <t>and as described in specifications</t>
  </si>
  <si>
    <t>3.1</t>
  </si>
  <si>
    <t>ELEC. Manhole (1.20 X1.20) M</t>
  </si>
  <si>
    <t>No</t>
  </si>
  <si>
    <t>3.2</t>
  </si>
  <si>
    <t>ELEC. Manhole (0.8 X0.8) M</t>
  </si>
  <si>
    <t>3.3</t>
  </si>
  <si>
    <t>ELEC. Manhole (0.6 X0.6) M</t>
  </si>
  <si>
    <t>3.4</t>
  </si>
  <si>
    <t>ELEC. Manhole (0.3 X0.3) M</t>
  </si>
  <si>
    <t>3.5</t>
  </si>
  <si>
    <t>IT. Manhole (0.6 X0.6) M</t>
  </si>
  <si>
    <t>POWER disconnecting switches</t>
  </si>
  <si>
    <t>1</t>
  </si>
  <si>
    <t xml:space="preserve">Supply, installation, testing and commissioning of disconnecting switches including circuit breakers, enclosures, fixings, supports and associated lighting contactors for complete installation as shown on drawings and as per specification  </t>
  </si>
  <si>
    <t>Disconnect switch, non-fused, weatherproof  and with pilot light, 63A, 3P,400V for WATER Pumps.</t>
  </si>
  <si>
    <t>Disconnect switch, non-fused, weatherproof  and with pilot light, 32A, 3P,400V for IRRIGATION PUMP .</t>
  </si>
  <si>
    <t xml:space="preserve">Disconnect switch, non-fused and with pilot  light , 200A, 3P, 400V in N-1 Enclosure, weatherproof for Fire pump </t>
  </si>
  <si>
    <t xml:space="preserve">Disconnect switch, non-fused and with pilot  light , 32A, 1P, 220V in N-1 Enclosure, weatherproof for BOOSTER PUMP </t>
  </si>
  <si>
    <t>2</t>
  </si>
  <si>
    <t xml:space="preserve">Supply and install SLEEVE PIPES </t>
  </si>
  <si>
    <t xml:space="preserve"> connections and associated trenching and</t>
  </si>
  <si>
    <t>backfilling as required to suit the locations  shown</t>
  </si>
  <si>
    <t>on drawings and as described in spsecifictaions</t>
  </si>
  <si>
    <t>6" Ø sleeve pipes</t>
  </si>
  <si>
    <t>4" Ø sleeve pipes</t>
  </si>
  <si>
    <t>3" Ø sleeve pipes</t>
  </si>
  <si>
    <t xml:space="preserve">GROUNDING SYSTEM.  </t>
  </si>
  <si>
    <t xml:space="preserve">Supply and install a complete grounding system </t>
  </si>
  <si>
    <t xml:space="preserve">comprising soild copper bare conductor </t>
  </si>
  <si>
    <t xml:space="preserve">imbedded in foundation and surrounding the </t>
  </si>
  <si>
    <t xml:space="preserve">buildings. Including earthing of all electrical and </t>
  </si>
  <si>
    <t>mechanical equipments in pump room, HAVC at</t>
  </si>
  <si>
    <t>the roof, in addition to all earthwork, connections</t>
  </si>
  <si>
    <t>to the building's facades, disconnect link for</t>
  </si>
  <si>
    <t xml:space="preserve">testing, clips, exthermic bonding and all </t>
  </si>
  <si>
    <t>assocciated works as necessary to complete</t>
  </si>
  <si>
    <t>the work as per code recommendation, as per</t>
  </si>
  <si>
    <t>drawings and as described in specifications.</t>
  </si>
  <si>
    <t>To suit the building's grounding resistivity</t>
  </si>
  <si>
    <t>Copper clad steel rod  20 mm dia &amp; 3000mm length</t>
  </si>
  <si>
    <t>EARTHING PIT ∅20 mm x 3000 mm &amp; INSPECTION PIT</t>
  </si>
  <si>
    <t>70 mm BARE COPPER CONDUCTOR</t>
  </si>
  <si>
    <t xml:space="preserve"> COPPER BUSBAR</t>
  </si>
  <si>
    <t xml:space="preserve">POWER AND LIGHTING  </t>
  </si>
  <si>
    <t>Light Switches and Electrical Sockets Supply and install power and lighting accessories</t>
  </si>
  <si>
    <t>including all necessary boxes, switches, sockets</t>
  </si>
  <si>
    <t>and as required seal enclosures. In addition to</t>
  </si>
  <si>
    <t>final sub-circuits comprising cables, conduits,</t>
  </si>
  <si>
    <t>fittings, connections and associated works as</t>
  </si>
  <si>
    <t>required to suit the locations  shown on drawings.</t>
  </si>
  <si>
    <t>The contractor is responsible for the finalization of all</t>
  </si>
  <si>
    <t>switching devices for all lighting outlets (Junction</t>
  </si>
  <si>
    <t>Boxes) according to Interior Design (ID) lighting fixture</t>
  </si>
  <si>
    <t>selection, layout and connections. In addition all plate</t>
  </si>
  <si>
    <t>covers for switches and sockets are to be supplied</t>
  </si>
  <si>
    <t>after client and consulatant engineer approval.</t>
  </si>
  <si>
    <t>13A,220V, 1 phase, 3 wires, duplex socket with switch on and off</t>
  </si>
  <si>
    <t>13A,220V, 1 phase, 3 wires, single socket with switch on and off for EMERGENCY LIGHT</t>
  </si>
  <si>
    <t>2 gang 1 way  Lighting switch ,220V, 1 phase</t>
  </si>
  <si>
    <t>Install lighting fixtures complete with</t>
  </si>
  <si>
    <t>luminaries and mounting accessories. In addition</t>
  </si>
  <si>
    <t>to supply and install the final sub-circuits comprising cables,</t>
  </si>
  <si>
    <t>conduits, fittings, connections and associated works as</t>
  </si>
  <si>
    <t>client and consulatant engineer approval is required.</t>
  </si>
  <si>
    <r>
      <rPr>
        <b/>
        <u/>
        <sz val="10"/>
        <rFont val="Arial"/>
        <charset val="134"/>
      </rPr>
      <t xml:space="preserve">The contractor shall be responsible for the supply and installation of all lighting works, including conduits, wiring, First Fix, Second Fix, and Third Fix. </t>
    </r>
    <r>
      <rPr>
        <b/>
        <u/>
        <sz val="10"/>
        <color rgb="FFFF0000"/>
        <rFont val="Arial"/>
        <charset val="134"/>
      </rPr>
      <t>The Owner will supply only the light fixtures themselves</t>
    </r>
    <r>
      <rPr>
        <b/>
        <u/>
        <sz val="10"/>
        <rFont val="Arial"/>
        <charset val="134"/>
      </rPr>
      <t xml:space="preserve"> for Third Fix only; the contractor is responsible for installing these fixtures, but the supply of the fixtures is not the contractor’s responsibility.</t>
    </r>
  </si>
  <si>
    <t>WEATHER PROOF, CLEAR POLYCARBONATE INJECTED UV STABLE DIFFUSER, HEAT HARDENED, ALUMINUM REFLECTOR PLACED UNDER THE LAMPS, DIFFUSER TIGHTENED WITH EXPANDABLE SEAL AND CLOSING CLIPS, 1274 X 195MM IN SIZE,  IP-65.</t>
  </si>
  <si>
    <t xml:space="preserve">POLE TOP LUMINAIRE, 2x150 watt LED LAMP,230 VOLT, ALUMINUM AND STAINLESS STEEL, SAFETY GLASS, REFLECTOR OF ANODIZED PURE ALUMINUM, ADJUSTABLE SLOPE ANGLE 0° OR 15°, LUMINAIRE MOUNTING HEIGHT  "H1" 6m HIGH, IP65. </t>
  </si>
  <si>
    <t xml:space="preserve"> LED STRIP LIGHT IP 65 ,10W/M ,3500K with ALUMINUM LINEAR PROFILE WITH COVER , BLACK or WHITE HOUSING</t>
  </si>
  <si>
    <t>String Lights Hanging Kit,Globe String Lights Suspension Kit,Outdoor Light Guide Wire-Coated Stainless Steel Wire Rope Cable,Turnbuckle and Hooks,Enough Accessories</t>
  </si>
  <si>
    <t xml:space="preserve">  LIGHT FOR SITE AS PER DESIGN IP 65 ,10W/M ,3500K with  ALUMINUM PROFILE WITH COVER , BLACK or WHITE HOUSING</t>
  </si>
  <si>
    <t>LOW CURRENT SYSTEMS</t>
  </si>
  <si>
    <t>All LOW CURRENT systems include fittings, tapes, pull</t>
  </si>
  <si>
    <t>boxes, connectors, supports, extensions of cables in</t>
  </si>
  <si>
    <t xml:space="preserve">conduits and all associated works as required to form </t>
  </si>
  <si>
    <t xml:space="preserve">a complete and fully operative system in the building </t>
  </si>
  <si>
    <t xml:space="preserve">as shown on drawings. </t>
  </si>
  <si>
    <t>CCTV SYSTEM</t>
  </si>
  <si>
    <t>CCTV SYSTEM: - Supply,  install,  connect,  testing  a  complete  CCTV  system  as shown   on   drawings with    all    equipment    specified    herein  including   other   components   accessories required  to  complete installation &amp; working. All the equipment of the closed circuit television system shall be rack-mounted type, where possible, and  shall  be  products  of a   single   manufacturer,   unless applicable or approved otherwise. Each item shall be installed where  shown  on  drawings  or  as  required  complete  with  its wiring (system including main rack01  fiber   optical   cable,   monitors,   WORKtation…etc.) recording criteria  shall  be  with  25  to  30  fps,  band  width  10 Mb/sec, H.264 video compression, 100% motion for 90 days, interface with it system.</t>
  </si>
  <si>
    <t>24 CH Network video Recorder,8 SATA, 8HDD Support</t>
  </si>
  <si>
    <t xml:space="preserve">Western digital 10 TB  Hard drive  for 90 Days backup </t>
  </si>
  <si>
    <t>IP DOME  FIXED CCTV CAMERA 8 MGPX OR EQUAL .   CEILLING MOUNTED ( WATER PROOF IF REQUIRED ) .</t>
  </si>
  <si>
    <t>Network CCTV bullet external (outdoor) camera, IP fixed,4k
8 megapixel</t>
  </si>
  <si>
    <t xml:space="preserve">CAT6 CALBE  </t>
  </si>
  <si>
    <t xml:space="preserve">FREE STAND cabient  12U   CCTV Rack </t>
  </si>
  <si>
    <t>TOTAL COST FOR DIVISION 8: ELECTRICAL (To Summary)</t>
  </si>
  <si>
    <t>Division A9 - FIRE</t>
  </si>
  <si>
    <t>DIVISION 17 - FIRE SYSTEM</t>
  </si>
  <si>
    <t>Fire Alarm items</t>
  </si>
  <si>
    <t>Fa</t>
  </si>
  <si>
    <t>FIRE ALARM SYSTEM :
Alarm systems include the supply, installation, testing and commissioning of the fire alarm system, and the work includes wires, pipes, cable beds, boxes, supports, grounding ,all fittings ,accessories,exacavations,backfilling,and all labour and materials to complete work.The entire system materials and installation must be complied the NFPA and all materials and components comply with Saudi Standard Specifications (SASO) or UL / FM Listed and civil defense requirements.
All materials must be approved before supply by the engineer owner .</t>
  </si>
  <si>
    <t>Fa1</t>
  </si>
  <si>
    <t>Addressable fire alarm control panel ( 1 loop )  with 24 hour back up battery.</t>
  </si>
  <si>
    <t>Pcs</t>
  </si>
  <si>
    <t>Fa2</t>
  </si>
  <si>
    <t xml:space="preserve">Addressable manual call point </t>
  </si>
  <si>
    <t>Fa3</t>
  </si>
  <si>
    <t>Addressable siren  ( indoor )</t>
  </si>
  <si>
    <t>Fa4</t>
  </si>
  <si>
    <t>Addressable  Smoke Detector</t>
  </si>
  <si>
    <t>Fa5</t>
  </si>
  <si>
    <t>Addressable Heat Detector</t>
  </si>
  <si>
    <t>Fa6</t>
  </si>
  <si>
    <t>Addressable weatherproof alarm siren with flashing light</t>
  </si>
  <si>
    <t>Fa7</t>
  </si>
  <si>
    <t>Monitor module</t>
  </si>
  <si>
    <t>Fa8</t>
  </si>
  <si>
    <t>Conventional fire alarm control panel ( 2 Zoons )  with 24 hour back up battery.</t>
  </si>
  <si>
    <t>Fa9</t>
  </si>
  <si>
    <t>Conventional fire alarm control panel ( 1 Zoon )  with 24 hour back up battery.</t>
  </si>
  <si>
    <t>Fa10</t>
  </si>
  <si>
    <t xml:space="preserve">Conventional manual call point </t>
  </si>
  <si>
    <t>Fa11</t>
  </si>
  <si>
    <t>Conventional  Bell</t>
  </si>
  <si>
    <t>Fa12</t>
  </si>
  <si>
    <t>Conventional  Smoke Detector</t>
  </si>
  <si>
    <t>Fa13</t>
  </si>
  <si>
    <t>EMERGENCY LIGHTS, 2 X 20 WATTS, WITH BACKUP
BATTERY 3.0 HRS APPROVED BY SASO.
230V/60HZ/ 1PH</t>
  </si>
  <si>
    <t>Fa14</t>
  </si>
  <si>
    <t>EXIT LIGHT W/ SELF CONTAINED EMERGENCY
SUPPLY 1 X 10 WATTS. 3.0 HRS APPROVED BY
SASO. 230V/60HZ/ 1PH</t>
  </si>
  <si>
    <t>Fa15</t>
  </si>
  <si>
    <t>FIRE RATED METAL DOOR SELF CLOSE 1.5 HOUR</t>
  </si>
  <si>
    <t>Fa16</t>
  </si>
  <si>
    <t>FIRE RATED METAL DOOR SELF CLOSE 1.0 HOUR</t>
  </si>
  <si>
    <t>FIRE PROTECTION SYSTEM</t>
  </si>
  <si>
    <t>FB</t>
  </si>
  <si>
    <t>Supply, installation and testing of pipework, seamless</t>
  </si>
  <si>
    <t>black steel pipe, schedule 40 ASTM A 53 or A795; fittings</t>
  </si>
  <si>
    <t>shall be malleable iron screwed for 50mm OD and below;</t>
  </si>
  <si>
    <t>steel flanges &amp; flanged fittings shall be ANSI B16.5 dim.,</t>
  </si>
  <si>
    <t>class 150-ASTM A105; for aboveground pipe shall be</t>
  </si>
  <si>
    <t>RTR as per ASTM D2310, bell x spigot and for adhesive</t>
  </si>
  <si>
    <t>bonded joints: including supports as shown on drawing</t>
  </si>
  <si>
    <t>standard and specifications:</t>
  </si>
  <si>
    <t>FB1</t>
  </si>
  <si>
    <t>1" Ø pipe schedule 40</t>
  </si>
  <si>
    <t>FB2</t>
  </si>
  <si>
    <t>1.25" Ø pipe schedule 40</t>
  </si>
  <si>
    <t>FB3</t>
  </si>
  <si>
    <t>1.5" Ø pipe schedule 40</t>
  </si>
  <si>
    <t>FB4</t>
  </si>
  <si>
    <t>2" Ø pipe schedule 40</t>
  </si>
  <si>
    <t>FB5</t>
  </si>
  <si>
    <t>2.5" Ø pipe schedule 40</t>
  </si>
  <si>
    <t>FB6</t>
  </si>
  <si>
    <t>3.0" Ø pipe schedule 40</t>
  </si>
  <si>
    <t>FB7</t>
  </si>
  <si>
    <t>4.0" Ø pipe schedule 40</t>
  </si>
  <si>
    <t>CONTRACTOR IS RESPONSBLE FOR (excavation, levelling, installation, concrete thrust blocks, tests, backfilling and warning tape</t>
  </si>
  <si>
    <t>FB8</t>
  </si>
  <si>
    <t>HDPE PIPE UNDER GROUND 2 INCH</t>
  </si>
  <si>
    <t>FB9</t>
  </si>
  <si>
    <t>HDPE PIPE UNDER GROUND 3 INCH</t>
  </si>
  <si>
    <t>FB10</t>
  </si>
  <si>
    <t>HDPE PIPE UNDER GROUND 4 INCH</t>
  </si>
  <si>
    <t>FB11</t>
  </si>
  <si>
    <t>HDPE PIPE UNDER GROUND 6 INCH</t>
  </si>
  <si>
    <t>FB12</t>
  </si>
  <si>
    <t>1" Ø pipe schedule 40 for SPRINKLER</t>
  </si>
  <si>
    <t xml:space="preserve">FIRE DEPARTMENT CONNECTION </t>
  </si>
  <si>
    <t>FC</t>
  </si>
  <si>
    <t>siamese connection having 2*2 1/2 inlets for city fire department connection having 4 outler to the building fire fighting system connection</t>
  </si>
  <si>
    <t>FIRE HOSE CABINET</t>
  </si>
  <si>
    <t>FD</t>
  </si>
  <si>
    <t>supply and installation and testing fire hose cabinet steel construction and commission with 30 meter 25mm (1inch)diameter fire rubber hose cabinet assembly complete with 40 mm (1.5 inch landing valve bronze adjustable spray nozzle as per drawings &amp; civil defence approved</t>
  </si>
  <si>
    <t>FE</t>
  </si>
  <si>
    <t>Fire Extinguisher</t>
  </si>
  <si>
    <t>Portable fire extinguisher, ABC dry chemical, 6kg</t>
  </si>
  <si>
    <t>capacity, steel painted body, with pressure indicator,</t>
  </si>
  <si>
    <t>FE1</t>
  </si>
  <si>
    <t>reinforced hose and discharge horn, squeeze handle, wall</t>
  </si>
  <si>
    <t>mounted bracket, installed with tagging and accessories, all</t>
  </si>
  <si>
    <t>as specified and shown on drawings (Civil Defense</t>
  </si>
  <si>
    <t>Approved).</t>
  </si>
  <si>
    <t>FE2</t>
  </si>
  <si>
    <t>Portable fire extinguisher, carbon dioxide type,6 kg</t>
  </si>
  <si>
    <t>capacity, steel painted body, pressure tested at 250 bars,</t>
  </si>
  <si>
    <t>seamless construction, with pull in squeeze handle, double</t>
  </si>
  <si>
    <t>braided hose and discharge horn, installed with tagging and</t>
  </si>
  <si>
    <t>accessories all as specified and shown on drawings (Civil</t>
  </si>
  <si>
    <t>Defense Approved).</t>
  </si>
  <si>
    <t>FE3</t>
  </si>
  <si>
    <t>CHEMICAL POWDER WITH MOUNTED 
 CELLING .CAPCITY 10 KG</t>
  </si>
  <si>
    <t>FF</t>
  </si>
  <si>
    <t>Sprinkler</t>
  </si>
  <si>
    <t>Supply, installation and testing ofSprinkler Heads; shall be</t>
  </si>
  <si>
    <t>standard response type, ordinary at temperature rating of</t>
  </si>
  <si>
    <t>68deg cent.; pendent heads shall be standard response type,</t>
  </si>
  <si>
    <t>ordinary temperature rating of 57 deg. Cent. All in</t>
  </si>
  <si>
    <t>accordance with general notes and standard (Civil Defense</t>
  </si>
  <si>
    <t>Approved.</t>
  </si>
  <si>
    <t>Pendent sprinkler (68 ºc) 5.6 K</t>
  </si>
  <si>
    <t>FG</t>
  </si>
  <si>
    <t>GATE VALVES:</t>
  </si>
  <si>
    <t>Supply, installation &amp; setting to work Gate valves</t>
  </si>
  <si>
    <t>completed with accessories (Approval by UL listed or FM</t>
  </si>
  <si>
    <t>or SASO) as shown on drawing and specifications</t>
  </si>
  <si>
    <t>FG1</t>
  </si>
  <si>
    <t>Gate Valve Ø2" inch</t>
  </si>
  <si>
    <t>FH</t>
  </si>
  <si>
    <t>ALARM CHECK VALVES:</t>
  </si>
  <si>
    <t>FH1</t>
  </si>
  <si>
    <t>ALARM CHECK VALVE 3 INCH</t>
  </si>
  <si>
    <t>FH2</t>
  </si>
  <si>
    <t>ALARM CHECK VALVE 4 INCH</t>
  </si>
  <si>
    <t>FH3</t>
  </si>
  <si>
    <t>ALARM CHECK VALVE 6 INCH</t>
  </si>
  <si>
    <t>FI</t>
  </si>
  <si>
    <t>FIRE PUMP</t>
  </si>
  <si>
    <t>FI1</t>
  </si>
  <si>
    <t>DESIL VERTICAL TURBINE PUMP CAPCITY 500 GALLON PER MINUTE (GPM)</t>
  </si>
  <si>
    <t>HEAD 70 METER , PRESSURE = 7 BAR</t>
  </si>
  <si>
    <t>FI2</t>
  </si>
  <si>
    <t xml:space="preserve">  ELECTRICAL VERTICAL TURBINE  PUMP CAPCITY 500 GALLON PER MINUTE (GPM)</t>
  </si>
  <si>
    <t>FI3</t>
  </si>
  <si>
    <t xml:space="preserve"> JOKEY VERTICAL TURBINE PUMP CAPCITY 50 GALLON PER MINUTE (GPM)</t>
  </si>
  <si>
    <t>HEAD 75 METER , PRESSURE = 7 BAR</t>
  </si>
  <si>
    <t>TOTAL COST FOR DIVISION 9: FIRE (To Summary)</t>
  </si>
  <si>
    <t>Division A10 - METALWORKS</t>
  </si>
  <si>
    <t>METALS</t>
  </si>
  <si>
    <t>Install,  and Erection of Pre Engineered Structural steel works including rafters, purlins,platform above roof for water tanks &amp; hvac outdoor unit</t>
  </si>
  <si>
    <t>METAL STAIR LADDER FOR ROOF SERVICE HIGHT 11 METER</t>
  </si>
  <si>
    <t>METAL CNC DESIGN FOR FAÇADE AS PER DESIGN RAL (9001)</t>
  </si>
  <si>
    <t>The Supplier Nominated by client to undertake the above works ALMGHRABY Can be contacted via below contact details.(Tenderers are requested to contact ALMGHRABY Via below contact details)</t>
  </si>
  <si>
    <t>TOTAL COST FOR DIVISION 10: FIRE (To Summary)</t>
  </si>
  <si>
    <t>COMPOSITE SUMMARY</t>
  </si>
  <si>
    <t>Item No.</t>
  </si>
  <si>
    <t>Unit Rate</t>
  </si>
  <si>
    <t>Amount</t>
  </si>
  <si>
    <t>SAR</t>
  </si>
  <si>
    <t>XXX</t>
  </si>
  <si>
    <t>THERMAL &amp; MOISTURE PROTECTION</t>
  </si>
  <si>
    <t>PLUMBING</t>
  </si>
  <si>
    <t>ELECTRICAL</t>
  </si>
  <si>
    <t>TOTAL ESTIMATED CONTRACT PRICE</t>
  </si>
  <si>
    <t>1.2.4</t>
  </si>
  <si>
    <t>Supply and application of approved anti-termite chemical treatment by spraying the soil beneath the Slab on Grade (SOG), including all necessary materials, equipment, labor, and related works, in accordance with the manufacturer’s recommendations.</t>
  </si>
  <si>
    <t>4.3.1</t>
  </si>
  <si>
    <r>
      <rPr>
        <b/>
        <sz val="12"/>
        <color rgb="FF000000"/>
        <rFont val="Times New Roman"/>
        <family val="1"/>
      </rPr>
      <t>RAZEEN SIGNAGE:</t>
    </r>
    <r>
      <rPr>
        <sz val="12"/>
        <color indexed="8"/>
        <rFont val="Times New Roman"/>
        <family val="1"/>
      </rPr>
      <t xml:space="preserve">
SUPPLY, FABRICATION, AND INSTALLATION OF “RAZEEN SEEF MALL” EXTERNAL 3D SIGNAGE, INCLUDING INDIVIDUAL DIMENSIONAL LETTERS AND LOGO WITH BACKLIT LED ILLUMINATION, SUPPORTING STRUCTURE, FIXING ACCESSORIES, POWER SUPPLY, WIRING, AND ALL RELATED WORKS.
</t>
    </r>
    <r>
      <rPr>
        <sz val="8"/>
        <color rgb="FF000000"/>
        <rFont val="Times New Roman"/>
        <family val="1"/>
      </rPr>
      <t xml:space="preserve">
 </t>
    </r>
    <r>
      <rPr>
        <sz val="12"/>
        <color indexed="8"/>
        <rFont val="Times New Roman"/>
        <family val="1"/>
      </rPr>
      <t xml:space="preserve">SIGNAGE SHALL BE FABRICATED FROM HIGH-QUALITY, WEATHER-, UV-, AND CORROSION-RESISTANT MATERIALS, WITH ENERGY-EFFICIENT LED BACKLIGHTING PROVIDING UNIFORM WARM ILLUMINATION.
</t>
    </r>
    <r>
      <rPr>
        <sz val="8"/>
        <color rgb="FF000000"/>
        <rFont val="Times New Roman"/>
        <family val="1"/>
      </rPr>
      <t xml:space="preserve">
</t>
    </r>
    <r>
      <rPr>
        <sz val="12"/>
        <color indexed="8"/>
        <rFont val="Times New Roman"/>
        <family val="1"/>
      </rPr>
      <t>THE CONTRACTOR SHALL SUBMIT SHOP DRAWINGS, MATERIAL SAMPLES, COLORS, FINISHES, STRUCTURAL DETAILS, AND ILLUMINATION DETAILS FOR APPROVAL PRIOR TO FABRICATION. COMPLETE WITH ALL BRACKETS, ANCHORS, CABLES, CONDUITS, LED DRIVERS, WEATHERPROOFING, AND ACCESSORIES.</t>
    </r>
  </si>
  <si>
    <t>METAL WORKS</t>
  </si>
  <si>
    <t>4.1.10</t>
  </si>
  <si>
    <t>SUPPLY AND INSTALLATION OF PRECAST CONCRETE PARKING WHEEL STOPS, SIZE 10 × 10 × 180 CM, INCLUDING ALL NECESSARY FIXINGS, ANCHORS, AND ACCESSORIES. WHEEL STOPS SHALL BE FINISHED WITH YELLOW ROAD-MARKING PAINT, SUCH AS JAZEERA ROAD PAINT OR APPROVED EQUIVALENT, SUITABLE FOR EXTERNAL PARKING APPLICATIONS, COMPLETE IN ACCORDANCE WITH THE PROJECT REQUIREMENTS.</t>
  </si>
  <si>
    <t>SUPPLY AND INSTALL SAUDI GRANITE FLOORING 600 × 300 × 20 MM FOR SHOPS OUTDOOR (SITE), INCLUDING 5 CM THICK CEMENT-SAND MIX BED, FIXING USING ADHESIVE, JOINT GROUTING BETWEEN GRANITE TILES IN MATCHING COLOR, AND COMPLETE CLEANING AND POLISHING AFTER INSTALLATION. WORKS TO BE COMPLETE IN ALL RESPECTS.</t>
  </si>
  <si>
    <t>SUPPLY AND INSTALL SAUDI GRANITE FLOORING 600 × 600 × 20 MM FOR SITE WALKWAY, INCLUDING 5 CM THICK CEMENT-SAND MIX BED, FIXING USING ADHESIVE, JOINT GROUTING BETWEEN GRANITE TILES IN MATCHING COLOR, AND COMPLETE CLEANING AND POLISHING AFTER INSTALLATION. WORKS TO BE COMPLETE IN ALL RESPECTS.</t>
  </si>
  <si>
    <r>
      <rPr>
        <b/>
        <sz val="12"/>
        <color rgb="FF000000"/>
        <rFont val="Times New Roman"/>
        <charset val="134"/>
      </rPr>
      <t>EXTERNAL STONE CLADDING</t>
    </r>
    <r>
      <rPr>
        <sz val="12"/>
        <color indexed="8"/>
        <rFont val="Times New Roman"/>
        <charset val="134"/>
      </rPr>
      <t xml:space="preserve">
SUPPLY AND INSTALLATION OF </t>
    </r>
    <r>
      <rPr>
        <b/>
        <sz val="12"/>
        <color rgb="FF000000"/>
        <rFont val="Times New Roman"/>
        <charset val="134"/>
      </rPr>
      <t>BEIGE TRAVERTINE STON</t>
    </r>
    <r>
      <rPr>
        <sz val="12"/>
        <color indexed="8"/>
        <rFont val="Times New Roman"/>
        <charset val="134"/>
      </rPr>
      <t>E 400*800*20 MM CLADDING TO EXTERNAL FACADES, INCLUDING SURFACE PREPARATION, APPLICATION OF BLACK BITUMINOUS COATING (ASPHALT) TO MASONRY BLOCK WALLS PRIOR TO INSTALLATION, MECHANICAL FIXING SYSTEM USING HOT-DIP GALVANIZED STEEL ANGLES, GALVANIZED STEEL FASTENERS, BOLTS, AND STEEL ANCHORS AS REQUIRED, COMPLETE WITH ALL NECESSARY ACCESSORIES, CUTTING, DRILLING, JOINTS, ALIGNMENT, LEVELING, AND FINISHING, ALL IN ACCORDANCE WITH THE APPROVED SHOP DRAWINGS, MANUFACTURER'S RECOMMENDATIONS, AND THE OWNER'S APPROVED SAMPLE.</t>
    </r>
  </si>
  <si>
    <r>
      <rPr>
        <b/>
        <sz val="12"/>
        <color rgb="FF000000"/>
        <rFont val="Times New Roman"/>
        <family val="1"/>
      </rPr>
      <t>SUPPLY AND INSTALLATION OF GRC FACADES</t>
    </r>
    <r>
      <rPr>
        <sz val="12"/>
        <color indexed="8"/>
        <rFont val="Times New Roman"/>
        <charset val="134"/>
      </rPr>
      <t xml:space="preserve">
SUPPLY AND INSTALLATION OF GRC (GLASS REINFORCED CONCRETE) FACADES IN ACCORDANCE WITH THE APPROVED DESIGN AND ARCHITECTURAL DRAWINGS, INCLUDING THE SUPPLY AND INSTALLATION OF 20 MM THICK GRC PANELS, COMPLETE WITH THE REQUIRED METAL FRAMING/SUBFRAME, BRACKETS, FIXINGS, ACCESSORIES, AND ALL NECESSARY OPENINGS, CUT-OUTS, AND RECESSES IN THE PANELS AS PER THE APPROVED DESIGN. THE SCOPE SHALL INCLUDE ALL MATERIALS, ACCESSORIES, FABRICATION, INSTALLATION, AND RELATED WORKS REQUIRED TO COMPLETE THE WORKS IN ACCORDANCE WITH THE APPROVED DRAWINGS, SPECIFICATIONS, AND RECOGNIZED TECHNICAL STANDARDS AND PRACTICES.</t>
    </r>
  </si>
  <si>
    <t>4.2.4</t>
  </si>
  <si>
    <t>FACADES WORK</t>
  </si>
  <si>
    <r>
      <t>fixing 100mm thk Sandwich panels to R</t>
    </r>
    <r>
      <rPr>
        <b/>
        <sz val="12"/>
        <color indexed="10"/>
        <rFont val="Times New Roman"/>
        <charset val="134"/>
      </rPr>
      <t>oof</t>
    </r>
    <r>
      <rPr>
        <sz val="12"/>
        <color indexed="10"/>
        <rFont val="Times New Roman"/>
        <charset val="134"/>
      </rPr>
      <t xml:space="preserve"> (0.50mm thk GI (G90) Polysterstandard RAL colour Top skin,50mm thk PIT of density35/40    +/-3kg/m³,0.70 thk thk GI (G90) Polysterstandard RAL colour Liner skin</t>
    </r>
  </si>
  <si>
    <t>Supply and installation with complete hardware's, fittings, accessories and finishes. (shop drawing must be submitted for approval)
Including:</t>
  </si>
  <si>
    <t>E.5</t>
  </si>
  <si>
    <t>E.6</t>
  </si>
  <si>
    <t>Downspout Nozzle: Rough Bronze, w/Wall Flange 110mm Ø.         (Zurn) or approved equal</t>
  </si>
  <si>
    <t>Downspout Nozzle: Rough Bronze, w/Wall Flange 160mm Ø.          (Zurn) or approved equal</t>
  </si>
  <si>
    <r>
      <rPr>
        <b/>
        <sz val="12"/>
        <color rgb="FF000000"/>
        <rFont val="Times New Roman"/>
        <family val="1"/>
      </rPr>
      <t>PAINTING FOR OUTDOOR WALLS (RAL 0607005)
BEHIND SIGNAGES</t>
    </r>
    <r>
      <rPr>
        <sz val="12"/>
        <color indexed="8"/>
        <rFont val="Times New Roman"/>
        <family val="1"/>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</si>
  <si>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4.3.2</t>
  </si>
  <si>
    <t>(D3) 1100*2400 SINGLE LEAF STEEL SWING DOOR 
@ OFFICE, DATA &amp; CONTROL, METER ROOM &amp; PUMP ROOM.</t>
  </si>
  <si>
    <t>(D4) 4500*2100 FOLDING SECO ROOM DOOR AS PER SECO STANDARD</t>
  </si>
  <si>
    <t>200 mm thick walls ConcreteBlock under boundary grade beams</t>
  </si>
  <si>
    <t>material</t>
  </si>
  <si>
    <t>manpower</t>
  </si>
  <si>
    <t>Lab</t>
  </si>
  <si>
    <t>concrete</t>
  </si>
  <si>
    <t>RFT</t>
  </si>
  <si>
    <t>operaion</t>
  </si>
  <si>
    <t>block</t>
  </si>
  <si>
    <t>membrane</t>
  </si>
  <si>
    <t>protection board</t>
  </si>
  <si>
    <t>screed</t>
  </si>
  <si>
    <t>supply</t>
  </si>
  <si>
    <t>housing</t>
  </si>
  <si>
    <t>wire</t>
  </si>
  <si>
    <t>install</t>
  </si>
  <si>
    <t>nvr</t>
  </si>
  <si>
    <t>hdd</t>
  </si>
  <si>
    <t>Yes</t>
  </si>
  <si>
    <t>4.2.5</t>
  </si>
  <si>
    <t>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</si>
</sst>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00_-;_-* #,##0.00\-;_-* &quot;-&quot;??_-;_-@_-"/>
    <numFmt numFmtId="166" formatCode="0.0"/>
    <numFmt numFmtId="167" formatCode="#,##0.0"/>
  </numFmts>
  <fonts count="70" x14ac:knownFonts="1">
    <font>
      <sz val="10"/>
      <color theme="1"/>
      <name val="Arial"/>
      <charset val="134"/>
    </font>
    <font>
      <sz val="12"/>
      <name val="Arial"/>
      <charset val="134"/>
    </font>
    <font>
      <sz val="12"/>
      <color rgb="FFFF0000"/>
      <name val="Arial"/>
      <charset val="134"/>
    </font>
    <font>
      <b/>
      <sz val="10"/>
      <name val="Arial"/>
      <charset val="178"/>
    </font>
    <font>
      <b/>
      <sz val="10"/>
      <name val="Arial"/>
      <charset val="134"/>
    </font>
    <font>
      <sz val="10"/>
      <name val="Arial"/>
      <charset val="134"/>
    </font>
    <font>
      <b/>
      <sz val="12"/>
      <name val="Arial"/>
      <charset val="134"/>
    </font>
    <font>
      <b/>
      <sz val="12"/>
      <name val="Times New Roman"/>
      <charset val="134"/>
    </font>
    <font>
      <sz val="12"/>
      <name val="Times New Roman"/>
      <charset val="134"/>
    </font>
    <font>
      <sz val="11"/>
      <color theme="1"/>
      <name val="Calibri"/>
      <charset val="134"/>
      <scheme val="minor"/>
    </font>
    <font>
      <sz val="10"/>
      <name val="Arial"/>
      <charset val="178"/>
    </font>
    <font>
      <b/>
      <u/>
      <sz val="12"/>
      <name val="Times New Roman"/>
      <charset val="134"/>
    </font>
    <font>
      <sz val="11"/>
      <name val="Times New Roman"/>
      <charset val="134"/>
    </font>
    <font>
      <sz val="12"/>
      <color rgb="FFFF0000"/>
      <name val="Times New Roman"/>
      <charset val="134"/>
    </font>
    <font>
      <b/>
      <sz val="11"/>
      <color rgb="FF002060"/>
      <name val="Times New Roman"/>
      <charset val="134"/>
    </font>
    <font>
      <b/>
      <sz val="10"/>
      <color theme="1"/>
      <name val="Arial"/>
      <charset val="134"/>
    </font>
    <font>
      <b/>
      <u/>
      <sz val="10"/>
      <name val="Arial"/>
      <charset val="134"/>
    </font>
    <font>
      <b/>
      <sz val="11"/>
      <color theme="1"/>
      <name val="Arial"/>
      <charset val="134"/>
    </font>
    <font>
      <sz val="10"/>
      <color rgb="FFFF0000"/>
      <name val="Arial"/>
      <charset val="134"/>
    </font>
    <font>
      <b/>
      <u/>
      <sz val="10"/>
      <name val="Arial"/>
      <charset val="178"/>
    </font>
    <font>
      <b/>
      <u/>
      <sz val="11"/>
      <name val="Arial"/>
      <charset val="134"/>
    </font>
    <font>
      <sz val="11.5"/>
      <name val="Arial"/>
      <charset val="134"/>
    </font>
    <font>
      <sz val="9"/>
      <name val="Arial"/>
      <charset val="134"/>
    </font>
    <font>
      <b/>
      <sz val="11"/>
      <name val="Arial"/>
      <charset val="134"/>
    </font>
    <font>
      <b/>
      <sz val="11.5"/>
      <name val="Arial"/>
      <charset val="134"/>
    </font>
    <font>
      <b/>
      <u/>
      <sz val="12"/>
      <name val="Arial"/>
      <charset val="134"/>
    </font>
    <font>
      <sz val="12"/>
      <color indexed="8"/>
      <name val="Times New Roman"/>
      <charset val="134"/>
    </font>
    <font>
      <b/>
      <sz val="11"/>
      <name val="Times New Roman"/>
      <charset val="134"/>
    </font>
    <font>
      <b/>
      <u/>
      <sz val="11"/>
      <name val="Times New Roman"/>
      <charset val="134"/>
    </font>
    <font>
      <sz val="11"/>
      <name val="Arial"/>
      <charset val="134"/>
    </font>
    <font>
      <sz val="10"/>
      <name val="Arial Narrow"/>
      <charset val="134"/>
    </font>
    <font>
      <b/>
      <sz val="12"/>
      <name val="Arial Narrow"/>
      <charset val="134"/>
    </font>
    <font>
      <b/>
      <sz val="12"/>
      <color indexed="8"/>
      <name val="Times New Roman"/>
      <charset val="134"/>
    </font>
    <font>
      <sz val="10"/>
      <name val="Arial"/>
      <charset val="134"/>
    </font>
    <font>
      <sz val="14"/>
      <color indexed="8"/>
      <name val="Times New Roman"/>
      <charset val="134"/>
    </font>
    <font>
      <sz val="12"/>
      <name val="Cambria"/>
      <charset val="134"/>
      <scheme val="major"/>
    </font>
    <font>
      <sz val="11"/>
      <color theme="1"/>
      <name val="Calibri"/>
      <charset val="178"/>
      <scheme val="minor"/>
    </font>
    <font>
      <sz val="12"/>
      <name val="Times New Roman"/>
      <charset val="178"/>
    </font>
    <font>
      <b/>
      <sz val="12"/>
      <color rgb="FF000000"/>
      <name val="Times New Roman"/>
      <charset val="134"/>
    </font>
    <font>
      <sz val="14"/>
      <color rgb="FFFF0000"/>
      <name val="Arial Narrow"/>
      <charset val="134"/>
    </font>
    <font>
      <sz val="8"/>
      <name val="Times New Roman"/>
      <charset val="134"/>
    </font>
    <font>
      <b/>
      <u/>
      <sz val="10"/>
      <color rgb="FFFF0000"/>
      <name val="Arial"/>
      <charset val="134"/>
    </font>
    <font>
      <b/>
      <sz val="12"/>
      <color indexed="10"/>
      <name val="Times New Roman"/>
      <charset val="134"/>
    </font>
    <font>
      <sz val="12"/>
      <color indexed="10"/>
      <name val="Times New Roman"/>
      <charset val="134"/>
    </font>
    <font>
      <sz val="8"/>
      <name val="Arial"/>
      <charset val="134"/>
    </font>
    <font>
      <sz val="12"/>
      <color indexed="8"/>
      <name val="Times New Roman"/>
      <family val="1"/>
    </font>
    <font>
      <b/>
      <sz val="12"/>
      <color rgb="FF000000"/>
      <name val="Times New Roman"/>
      <family val="1"/>
    </font>
    <font>
      <sz val="8"/>
      <color rgb="FF000000"/>
      <name val="Times New Roman"/>
      <family val="1"/>
    </font>
    <font>
      <sz val="12"/>
      <name val="Times New Roman"/>
      <family val="1"/>
    </font>
    <font>
      <b/>
      <sz val="12"/>
      <name val="Times New Roman"/>
      <family val="1"/>
    </font>
    <font>
      <sz val="11"/>
      <name val="Times New Roman"/>
      <family val="1"/>
    </font>
    <font>
      <b/>
      <sz val="12"/>
      <color indexed="8"/>
      <name val="Times New Roman"/>
      <family val="1"/>
    </font>
    <font>
      <sz val="10"/>
      <color theme="1"/>
      <name val="Arial"/>
      <family val="2"/>
    </font>
    <font>
      <sz val="10"/>
      <color theme="1"/>
      <name val="Arial"/>
      <charset val="134"/>
    </font>
    <font>
      <b/>
      <sz val="10"/>
      <name val="Arial"/>
      <family val="2"/>
      <charset val="178"/>
    </font>
    <font>
      <sz val="10"/>
      <name val="Arial"/>
      <family val="2"/>
    </font>
    <font>
      <sz val="12"/>
      <name val="Arial"/>
      <family val="2"/>
    </font>
    <font>
      <sz val="10"/>
      <name val="Arial"/>
      <family val="2"/>
      <charset val="178"/>
    </font>
    <font>
      <b/>
      <sz val="10"/>
      <name val="Arial"/>
      <family val="2"/>
    </font>
    <font>
      <b/>
      <sz val="12"/>
      <name val="Arial Narrow"/>
      <family val="2"/>
    </font>
    <font>
      <sz val="10"/>
      <name val="Arial Narrow"/>
      <family val="2"/>
    </font>
    <font>
      <b/>
      <sz val="12"/>
      <color rgb="FF0000CC"/>
      <name val="Times New Roman"/>
      <family val="1"/>
    </font>
    <font>
      <b/>
      <sz val="10"/>
      <color theme="1"/>
      <name val="Arial"/>
      <family val="2"/>
    </font>
    <font>
      <sz val="11"/>
      <color theme="1"/>
      <name val="Calibri"/>
      <family val="2"/>
      <scheme val="minor"/>
    </font>
    <font>
      <sz val="14"/>
      <name val="Arial"/>
      <family val="2"/>
    </font>
    <font>
      <b/>
      <sz val="11"/>
      <color theme="1"/>
      <name val="Arial"/>
      <family val="2"/>
    </font>
    <font>
      <b/>
      <sz val="12"/>
      <name val="Arial"/>
      <family val="2"/>
    </font>
    <font>
      <sz val="11"/>
      <name val="Arial"/>
      <family val="2"/>
    </font>
    <font>
      <sz val="12"/>
      <color rgb="FFFF0000"/>
      <name val="Arial"/>
      <family val="2"/>
    </font>
    <font>
      <b/>
      <sz val="9"/>
      <color indexed="81"/>
      <name val="Tahoma"/>
      <charset val="1"/>
    </font>
  </fonts>
  <fills count="5">
    <fill>
      <patternFill patternType="none"/>
    </fill>
    <fill>
      <patternFill patternType="gray125"/>
    </fill>
    <fill>
      <patternFill patternType="solid">
        <fgColor theme="0" tint="-0.14993743705557422"/>
        <bgColor indexed="64"/>
      </patternFill>
    </fill>
    <fill>
      <patternFill patternType="solid">
        <fgColor theme="0" tint="-0.14996795556505021"/>
        <bgColor indexed="64"/>
      </patternFill>
    </fill>
    <fill>
      <patternFill patternType="solid">
        <fgColor rgb="FFFFFF00"/>
        <bgColor indexed="64"/>
      </patternFill>
    </fill>
  </fills>
  <borders count="25">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diagonal/>
    </border>
    <border>
      <left/>
      <right style="thin">
        <color auto="1"/>
      </right>
      <top/>
      <bottom/>
      <diagonal/>
    </border>
    <border>
      <left style="thin">
        <color auto="1"/>
      </left>
      <right/>
      <top style="hair">
        <color auto="1"/>
      </top>
      <bottom style="hair">
        <color auto="1"/>
      </bottom>
      <diagonal/>
    </border>
    <border>
      <left style="thin">
        <color auto="1"/>
      </left>
      <right/>
      <top/>
      <bottom/>
      <diagonal/>
    </border>
  </borders>
  <cellStyleXfs count="14">
    <xf numFmtId="0" fontId="0" fillId="0" borderId="0"/>
    <xf numFmtId="0" fontId="5" fillId="0" borderId="0"/>
    <xf numFmtId="164" fontId="5" fillId="0" borderId="0" applyFont="0" applyFill="0" applyBorder="0" applyAlignment="0" applyProtection="0"/>
    <xf numFmtId="165" fontId="36" fillId="0" borderId="0" applyFont="0" applyFill="0" applyBorder="0" applyAlignment="0" applyProtection="0"/>
    <xf numFmtId="164" fontId="33" fillId="0" borderId="0" applyFont="0" applyFill="0" applyBorder="0" applyAlignment="0" applyProtection="0"/>
    <xf numFmtId="0" fontId="5" fillId="0" borderId="0"/>
    <xf numFmtId="1" fontId="37" fillId="0" borderId="19">
      <alignment horizontal="justify" wrapText="1"/>
    </xf>
    <xf numFmtId="0" fontId="33" fillId="0" borderId="0"/>
    <xf numFmtId="0" fontId="5" fillId="0" borderId="0"/>
    <xf numFmtId="0" fontId="9" fillId="0" borderId="0"/>
    <xf numFmtId="0" fontId="9" fillId="0" borderId="0"/>
    <xf numFmtId="43" fontId="53" fillId="0" borderId="0" applyFont="0" applyFill="0" applyBorder="0" applyAlignment="0" applyProtection="0"/>
    <xf numFmtId="0" fontId="63" fillId="0" borderId="0"/>
    <xf numFmtId="0" fontId="63" fillId="0" borderId="0"/>
  </cellStyleXfs>
  <cellXfs count="294">
    <xf numFmtId="0" fontId="0" fillId="0" borderId="0" xfId="0"/>
    <xf numFmtId="0" fontId="1" fillId="0" borderId="0" xfId="7" applyFont="1" applyAlignment="1">
      <alignment vertical="center"/>
    </xf>
    <xf numFmtId="0" fontId="2" fillId="0" borderId="0" xfId="7" applyFont="1" applyAlignment="1">
      <alignment vertical="center" readingOrder="1"/>
    </xf>
    <xf numFmtId="0" fontId="2" fillId="0" borderId="0" xfId="7" applyFont="1"/>
    <xf numFmtId="0" fontId="1" fillId="0" borderId="0" xfId="7" applyFont="1" applyAlignment="1">
      <alignment horizontal="center" vertical="center"/>
    </xf>
    <xf numFmtId="0" fontId="1" fillId="0" borderId="0" xfId="7" applyFont="1"/>
    <xf numFmtId="0" fontId="1" fillId="0" borderId="0" xfId="7" applyFont="1" applyAlignment="1">
      <alignment horizontal="center"/>
    </xf>
    <xf numFmtId="3" fontId="1" fillId="0" borderId="0" xfId="7" applyNumberFormat="1" applyFont="1"/>
    <xf numFmtId="0" fontId="3" fillId="0" borderId="0" xfId="0" applyFont="1" applyAlignment="1">
      <alignment horizontal="left" vertical="center"/>
    </xf>
    <xf numFmtId="0" fontId="4" fillId="0" borderId="0" xfId="0" applyFont="1" applyAlignment="1">
      <alignment horizontal="left" vertical="center" wrapText="1"/>
    </xf>
    <xf numFmtId="166" fontId="5" fillId="0" borderId="0" xfId="0" applyNumberFormat="1" applyFont="1" applyAlignment="1">
      <alignment horizontal="center" vertical="top"/>
    </xf>
    <xf numFmtId="0" fontId="4" fillId="0" borderId="0" xfId="0" applyFont="1" applyAlignment="1">
      <alignment horizontal="left" vertical="top"/>
    </xf>
    <xf numFmtId="167" fontId="5" fillId="0" borderId="0" xfId="0" applyNumberFormat="1" applyFont="1" applyAlignment="1">
      <alignment horizontal="center" vertical="top"/>
    </xf>
    <xf numFmtId="0" fontId="1" fillId="0" borderId="0" xfId="7" applyFont="1" applyAlignment="1">
      <alignment horizontal="center" vertical="center" wrapText="1"/>
    </xf>
    <xf numFmtId="0" fontId="1" fillId="0" borderId="0" xfId="7" applyFont="1" applyAlignment="1">
      <alignment vertical="center" wrapText="1"/>
    </xf>
    <xf numFmtId="3" fontId="1" fillId="0" borderId="0" xfId="7" applyNumberFormat="1" applyFont="1" applyAlignment="1">
      <alignment vertical="center" wrapText="1"/>
    </xf>
    <xf numFmtId="2" fontId="7" fillId="0" borderId="9" xfId="7" applyNumberFormat="1" applyFont="1" applyBorder="1" applyAlignment="1">
      <alignment horizontal="center" vertical="center" wrapText="1" readingOrder="1"/>
    </xf>
    <xf numFmtId="0" fontId="7" fillId="0" borderId="9" xfId="7" applyFont="1" applyBorder="1" applyAlignment="1">
      <alignment horizontal="justify" vertical="center" wrapText="1" readingOrder="1"/>
    </xf>
    <xf numFmtId="0" fontId="8" fillId="0" borderId="9" xfId="7" applyFont="1" applyBorder="1" applyAlignment="1">
      <alignment horizontal="center" vertical="top" wrapText="1" readingOrder="1"/>
    </xf>
    <xf numFmtId="0" fontId="8" fillId="0" borderId="9" xfId="7" applyFont="1" applyBorder="1" applyAlignment="1">
      <alignment horizontal="center" vertical="center" wrapText="1" readingOrder="1"/>
    </xf>
    <xf numFmtId="3" fontId="8" fillId="0" borderId="9" xfId="7" applyNumberFormat="1" applyFont="1" applyBorder="1" applyAlignment="1">
      <alignment horizontal="center" vertical="center" wrapText="1" readingOrder="1"/>
    </xf>
    <xf numFmtId="3" fontId="8" fillId="0" borderId="9" xfId="7" applyNumberFormat="1" applyFont="1" applyBorder="1" applyAlignment="1" applyProtection="1">
      <alignment horizontal="left" vertical="center" wrapText="1" readingOrder="1"/>
      <protection locked="0"/>
    </xf>
    <xf numFmtId="0" fontId="7" fillId="0" borderId="9" xfId="7" applyFont="1" applyBorder="1" applyAlignment="1">
      <alignment horizontal="left" vertical="top" wrapText="1" readingOrder="1"/>
    </xf>
    <xf numFmtId="0" fontId="7" fillId="0" borderId="9" xfId="7" applyFont="1" applyBorder="1" applyAlignment="1">
      <alignment horizontal="left" vertical="center" wrapText="1" readingOrder="1"/>
    </xf>
    <xf numFmtId="0" fontId="8" fillId="0" borderId="6" xfId="7" applyFont="1" applyBorder="1" applyAlignment="1">
      <alignment horizontal="center" vertical="top" wrapText="1" readingOrder="1"/>
    </xf>
    <xf numFmtId="0" fontId="7" fillId="0" borderId="6" xfId="7" applyFont="1" applyBorder="1" applyAlignment="1">
      <alignment horizontal="center" vertical="center" wrapText="1" readingOrder="1"/>
    </xf>
    <xf numFmtId="0" fontId="7" fillId="0" borderId="6" xfId="7" applyFont="1" applyBorder="1" applyAlignment="1">
      <alignment horizontal="center" vertical="top" wrapText="1" readingOrder="1"/>
    </xf>
    <xf numFmtId="164" fontId="7" fillId="0" borderId="6" xfId="2" applyFont="1" applyBorder="1" applyAlignment="1">
      <alignment vertical="center" wrapText="1" readingOrder="1"/>
    </xf>
    <xf numFmtId="3" fontId="7" fillId="0" borderId="6" xfId="2" applyNumberFormat="1" applyFont="1" applyBorder="1" applyAlignment="1">
      <alignment vertical="center" wrapText="1" readingOrder="1"/>
    </xf>
    <xf numFmtId="0" fontId="9" fillId="0" borderId="0" xfId="9"/>
    <xf numFmtId="0" fontId="3" fillId="0" borderId="0" xfId="0" applyFont="1" applyAlignment="1">
      <alignment horizontal="center" vertical="center"/>
    </xf>
    <xf numFmtId="167" fontId="3" fillId="0" borderId="0" xfId="0" applyNumberFormat="1" applyFont="1" applyAlignment="1">
      <alignment horizontal="right" vertical="top"/>
    </xf>
    <xf numFmtId="0" fontId="10" fillId="0" borderId="0" xfId="0" applyFont="1" applyAlignment="1">
      <alignment horizontal="center" vertical="top"/>
    </xf>
    <xf numFmtId="167" fontId="4" fillId="0" borderId="0" xfId="0" applyNumberFormat="1" applyFont="1" applyAlignment="1">
      <alignment horizontal="right" vertical="top"/>
    </xf>
    <xf numFmtId="167" fontId="4" fillId="0" borderId="0" xfId="0" applyNumberFormat="1" applyFont="1" applyAlignment="1">
      <alignment horizontal="center" vertical="top"/>
    </xf>
    <xf numFmtId="0" fontId="4" fillId="0" borderId="0" xfId="0" applyFont="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167" fontId="4" fillId="0" borderId="12" xfId="0" applyNumberFormat="1" applyFont="1" applyBorder="1" applyAlignment="1">
      <alignment horizontal="center" vertical="top"/>
    </xf>
    <xf numFmtId="167" fontId="4" fillId="0" borderId="13" xfId="0" applyNumberFormat="1" applyFont="1" applyBorder="1" applyAlignment="1">
      <alignment horizontal="center" vertical="top"/>
    </xf>
    <xf numFmtId="0" fontId="7" fillId="0" borderId="14" xfId="7" applyFont="1" applyBorder="1" applyAlignment="1">
      <alignment horizontal="center" vertical="center" wrapText="1" readingOrder="1"/>
    </xf>
    <xf numFmtId="0" fontId="11" fillId="0" borderId="14" xfId="7" applyFont="1" applyBorder="1" applyAlignment="1">
      <alignment horizontal="center" vertical="top" wrapText="1" readingOrder="1"/>
    </xf>
    <xf numFmtId="0" fontId="8" fillId="0" borderId="14" xfId="7" applyFont="1" applyBorder="1" applyAlignment="1">
      <alignment horizontal="center" vertical="top" wrapText="1" readingOrder="1"/>
    </xf>
    <xf numFmtId="0" fontId="11" fillId="0" borderId="9" xfId="7" applyFont="1" applyBorder="1" applyAlignment="1">
      <alignment horizontal="left" wrapText="1" readingOrder="1"/>
    </xf>
    <xf numFmtId="0" fontId="12" fillId="0" borderId="9" xfId="7" applyFont="1" applyBorder="1" applyAlignment="1">
      <alignment horizontal="justify" vertical="center" wrapText="1" readingOrder="1"/>
    </xf>
    <xf numFmtId="0" fontId="12" fillId="0" borderId="0" xfId="7" applyFont="1" applyAlignment="1">
      <alignment horizontal="justify" vertical="center" wrapText="1" readingOrder="1"/>
    </xf>
    <xf numFmtId="0" fontId="2" fillId="0" borderId="0" xfId="7" applyFont="1" applyAlignment="1">
      <alignment horizontal="justify" vertical="center"/>
    </xf>
    <xf numFmtId="0" fontId="12" fillId="0" borderId="9" xfId="7" applyFont="1" applyBorder="1" applyAlignment="1">
      <alignment horizontal="center" vertical="top" wrapText="1" readingOrder="1"/>
    </xf>
    <xf numFmtId="0" fontId="12" fillId="0" borderId="9" xfId="7" applyFont="1" applyBorder="1" applyAlignment="1">
      <alignment horizontal="center" vertical="center" wrapText="1" readingOrder="1"/>
    </xf>
    <xf numFmtId="0" fontId="13" fillId="0" borderId="9" xfId="7" applyFont="1" applyBorder="1" applyAlignment="1">
      <alignment horizontal="justify" vertical="center" wrapText="1" readingOrder="1"/>
    </xf>
    <xf numFmtId="0" fontId="14" fillId="0" borderId="9" xfId="7" applyFont="1" applyBorder="1" applyAlignment="1">
      <alignment horizontal="justify" vertical="center" wrapText="1" readingOrder="1"/>
    </xf>
    <xf numFmtId="2" fontId="12" fillId="0" borderId="9" xfId="7" applyNumberFormat="1" applyFont="1" applyBorder="1" applyAlignment="1">
      <alignment horizontal="center" vertical="center" wrapText="1" readingOrder="1"/>
    </xf>
    <xf numFmtId="0" fontId="15" fillId="0" borderId="10" xfId="0" applyFont="1" applyBorder="1" applyAlignment="1">
      <alignment horizontal="left" vertical="top"/>
    </xf>
    <xf numFmtId="0" fontId="15" fillId="0" borderId="17" xfId="0" applyFont="1" applyBorder="1" applyAlignment="1">
      <alignment vertical="top"/>
    </xf>
    <xf numFmtId="0" fontId="15" fillId="0" borderId="17" xfId="0" applyFont="1" applyBorder="1" applyAlignment="1">
      <alignment horizontal="left" vertical="top"/>
    </xf>
    <xf numFmtId="0" fontId="15" fillId="0" borderId="17" xfId="0" applyFont="1" applyBorder="1" applyAlignment="1">
      <alignment horizontal="center" vertical="top"/>
    </xf>
    <xf numFmtId="3" fontId="15" fillId="0" borderId="17" xfId="0" applyNumberFormat="1" applyFont="1" applyBorder="1" applyAlignment="1">
      <alignment horizontal="center" vertical="top"/>
    </xf>
    <xf numFmtId="167" fontId="15" fillId="0" borderId="12" xfId="0" applyNumberFormat="1" applyFont="1" applyBorder="1" applyAlignment="1">
      <alignment horizontal="right" vertical="top"/>
    </xf>
    <xf numFmtId="167" fontId="15" fillId="0" borderId="13" xfId="0" applyNumberFormat="1" applyFont="1" applyBorder="1" applyAlignment="1">
      <alignment horizontal="right" vertical="top"/>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167" fontId="0" fillId="0" borderId="0" xfId="0" applyNumberFormat="1" applyAlignment="1">
      <alignment horizontal="center" vertical="top"/>
    </xf>
    <xf numFmtId="167" fontId="0" fillId="0" borderId="0" xfId="0" applyNumberFormat="1" applyAlignment="1">
      <alignment horizontal="right" vertical="top"/>
    </xf>
    <xf numFmtId="0" fontId="15" fillId="0" borderId="18" xfId="0" applyFont="1" applyBorder="1" applyAlignment="1">
      <alignment horizontal="center" vertical="top" wrapText="1"/>
    </xf>
    <xf numFmtId="166" fontId="0" fillId="0" borderId="19" xfId="0" applyNumberFormat="1" applyBorder="1" applyAlignment="1">
      <alignment horizontal="center" vertical="top"/>
    </xf>
    <xf numFmtId="167" fontId="0" fillId="0" borderId="19" xfId="0" applyNumberFormat="1" applyBorder="1" applyAlignment="1">
      <alignment horizontal="center" vertical="top"/>
    </xf>
    <xf numFmtId="0" fontId="0" fillId="0" borderId="19" xfId="0" applyBorder="1" applyAlignment="1">
      <alignment horizontal="center" vertical="top"/>
    </xf>
    <xf numFmtId="167" fontId="0" fillId="0" borderId="19" xfId="0" applyNumberFormat="1" applyBorder="1" applyAlignment="1" applyProtection="1">
      <alignment horizontal="right" vertical="top"/>
      <protection locked="0"/>
    </xf>
    <xf numFmtId="167" fontId="0" fillId="0" borderId="20" xfId="0" applyNumberFormat="1" applyBorder="1" applyAlignment="1">
      <alignment horizontal="right" vertical="top"/>
    </xf>
    <xf numFmtId="0" fontId="0" fillId="0" borderId="0" xfId="0" applyAlignment="1" applyProtection="1">
      <alignment vertical="top"/>
      <protection locked="0"/>
    </xf>
    <xf numFmtId="0" fontId="15" fillId="0" borderId="18" xfId="0" applyFont="1" applyBorder="1" applyAlignment="1">
      <alignment horizontal="center" vertical="top"/>
    </xf>
    <xf numFmtId="49" fontId="5" fillId="0" borderId="19" xfId="0" applyNumberFormat="1" applyFont="1" applyBorder="1" applyAlignment="1">
      <alignment horizontal="center" vertical="center"/>
    </xf>
    <xf numFmtId="0" fontId="16" fillId="0" borderId="19" xfId="0" applyFont="1" applyBorder="1" applyAlignment="1">
      <alignment horizontal="left" vertical="center"/>
    </xf>
    <xf numFmtId="0" fontId="5" fillId="0" borderId="19" xfId="0" applyFont="1" applyBorder="1" applyAlignment="1">
      <alignment horizontal="center" vertical="center"/>
    </xf>
    <xf numFmtId="167" fontId="5" fillId="0" borderId="19" xfId="0" applyNumberFormat="1" applyFont="1" applyBorder="1" applyAlignment="1">
      <alignment vertical="center"/>
    </xf>
    <xf numFmtId="0" fontId="0" fillId="0" borderId="18" xfId="0" applyBorder="1" applyAlignment="1">
      <alignment horizontal="center" vertical="top"/>
    </xf>
    <xf numFmtId="0" fontId="5" fillId="0" borderId="19" xfId="0" applyFont="1" applyBorder="1" applyAlignment="1">
      <alignment horizontal="left" vertical="center"/>
    </xf>
    <xf numFmtId="0" fontId="17" fillId="0" borderId="7" xfId="8" applyFont="1" applyBorder="1" applyAlignment="1">
      <alignment horizontal="center" vertical="center"/>
    </xf>
    <xf numFmtId="0" fontId="5" fillId="0" borderId="19" xfId="0" applyFont="1" applyBorder="1" applyAlignment="1">
      <alignment horizontal="left" vertical="center" wrapText="1"/>
    </xf>
    <xf numFmtId="0" fontId="17" fillId="0" borderId="7" xfId="8" applyFont="1" applyBorder="1"/>
    <xf numFmtId="43" fontId="17" fillId="0" borderId="7" xfId="3" applyNumberFormat="1" applyFont="1" applyFill="1" applyBorder="1" applyAlignment="1">
      <alignment vertical="center"/>
    </xf>
    <xf numFmtId="0" fontId="0" fillId="0" borderId="19" xfId="0" applyBorder="1" applyAlignment="1">
      <alignment horizontal="left" vertical="center"/>
    </xf>
    <xf numFmtId="0" fontId="0" fillId="0" borderId="19" xfId="0" applyBorder="1" applyAlignment="1">
      <alignment horizontal="left" vertical="center" wrapText="1"/>
    </xf>
    <xf numFmtId="49" fontId="0" fillId="0" borderId="19" xfId="0" applyNumberFormat="1" applyBorder="1" applyAlignment="1">
      <alignment horizontal="center" vertical="center"/>
    </xf>
    <xf numFmtId="0" fontId="0" fillId="0" borderId="19" xfId="0" applyBorder="1" applyAlignment="1">
      <alignment horizontal="center" vertical="center"/>
    </xf>
    <xf numFmtId="3" fontId="5" fillId="0" borderId="19" xfId="0" applyNumberFormat="1" applyFont="1" applyBorder="1" applyAlignment="1">
      <alignment horizontal="center" vertical="center"/>
    </xf>
    <xf numFmtId="3" fontId="5" fillId="0" borderId="19" xfId="0" applyNumberFormat="1" applyFont="1" applyBorder="1" applyAlignment="1">
      <alignment vertical="center"/>
    </xf>
    <xf numFmtId="49" fontId="4" fillId="0" borderId="19" xfId="0" applyNumberFormat="1" applyFont="1" applyBorder="1" applyAlignment="1">
      <alignment horizontal="center" vertical="center"/>
    </xf>
    <xf numFmtId="0" fontId="16" fillId="0" borderId="19" xfId="0" applyFont="1" applyBorder="1" applyAlignment="1">
      <alignment horizontal="left" vertical="center" wrapText="1"/>
    </xf>
    <xf numFmtId="0" fontId="18" fillId="0" borderId="19" xfId="0" applyFont="1" applyBorder="1" applyAlignment="1">
      <alignment horizontal="left" vertical="center" wrapText="1"/>
    </xf>
    <xf numFmtId="49" fontId="15" fillId="0" borderId="19" xfId="0" applyNumberFormat="1" applyFont="1" applyBorder="1" applyAlignment="1">
      <alignment horizontal="center" vertical="center"/>
    </xf>
    <xf numFmtId="0" fontId="19" fillId="0" borderId="19" xfId="0" applyFont="1" applyBorder="1" applyAlignment="1">
      <alignment horizontal="left" vertical="center"/>
    </xf>
    <xf numFmtId="0" fontId="10" fillId="0" borderId="19" xfId="0" applyFont="1" applyBorder="1" applyAlignment="1">
      <alignment horizontal="center" wrapText="1"/>
    </xf>
    <xf numFmtId="49" fontId="4" fillId="0" borderId="19" xfId="0" applyNumberFormat="1" applyFont="1" applyBorder="1" applyAlignment="1">
      <alignment horizontal="center" vertical="top" wrapText="1"/>
    </xf>
    <xf numFmtId="49" fontId="10" fillId="0" borderId="19" xfId="0" applyNumberFormat="1" applyFont="1" applyBorder="1" applyAlignment="1">
      <alignment horizontal="center" vertical="top" wrapText="1"/>
    </xf>
    <xf numFmtId="0" fontId="5" fillId="0" borderId="19" xfId="0" applyFont="1" applyBorder="1" applyAlignment="1">
      <alignment horizontal="center"/>
    </xf>
    <xf numFmtId="0" fontId="15" fillId="0" borderId="21" xfId="0" applyFont="1" applyBorder="1" applyAlignment="1">
      <alignment horizontal="center" vertical="top"/>
    </xf>
    <xf numFmtId="49" fontId="5" fillId="0" borderId="19" xfId="0" applyNumberFormat="1" applyFont="1" applyBorder="1" applyAlignment="1">
      <alignment horizontal="center"/>
    </xf>
    <xf numFmtId="0" fontId="5" fillId="0" borderId="19" xfId="0" applyFont="1" applyBorder="1" applyAlignment="1">
      <alignment horizontal="center" wrapText="1"/>
    </xf>
    <xf numFmtId="49" fontId="10" fillId="0" borderId="19" xfId="0" applyNumberFormat="1" applyFont="1" applyBorder="1" applyAlignment="1">
      <alignment horizontal="center" vertical="center" wrapText="1"/>
    </xf>
    <xf numFmtId="0" fontId="5" fillId="0" borderId="19" xfId="0" applyFont="1" applyBorder="1" applyAlignment="1">
      <alignment vertical="center"/>
    </xf>
    <xf numFmtId="0" fontId="5" fillId="0" borderId="19" xfId="0" applyFont="1" applyBorder="1" applyAlignment="1">
      <alignment horizontal="center" vertical="center" wrapText="1"/>
    </xf>
    <xf numFmtId="49" fontId="4" fillId="0" borderId="19" xfId="0" applyNumberFormat="1" applyFont="1" applyBorder="1" applyAlignment="1">
      <alignment horizontal="center"/>
    </xf>
    <xf numFmtId="0" fontId="16" fillId="0" borderId="19" xfId="0" applyFont="1" applyBorder="1"/>
    <xf numFmtId="0" fontId="5" fillId="0" borderId="19" xfId="0" applyFont="1" applyBorder="1"/>
    <xf numFmtId="0" fontId="5" fillId="0" borderId="0" xfId="0" applyFont="1" applyAlignment="1">
      <alignment vertical="top" wrapText="1"/>
    </xf>
    <xf numFmtId="0" fontId="20" fillId="0" borderId="19" xfId="0" applyFont="1" applyBorder="1" applyAlignment="1">
      <alignment horizontal="left" vertical="center"/>
    </xf>
    <xf numFmtId="0" fontId="16" fillId="0" borderId="19" xfId="0" applyFont="1" applyBorder="1" applyAlignment="1">
      <alignment horizontal="left"/>
    </xf>
    <xf numFmtId="0" fontId="20" fillId="0" borderId="19" xfId="0" applyFont="1" applyBorder="1" applyAlignment="1">
      <alignment horizontal="left" vertical="center" wrapText="1"/>
    </xf>
    <xf numFmtId="49" fontId="21" fillId="0" borderId="19" xfId="0" applyNumberFormat="1" applyFont="1" applyBorder="1" applyAlignment="1">
      <alignment horizontal="center" vertical="top" wrapText="1"/>
    </xf>
    <xf numFmtId="1" fontId="22" fillId="0" borderId="19" xfId="6" applyFont="1" applyAlignment="1">
      <alignment horizontal="left" vertical="center" wrapText="1" readingOrder="1"/>
    </xf>
    <xf numFmtId="49" fontId="23" fillId="0" borderId="19" xfId="0" applyNumberFormat="1" applyFont="1" applyBorder="1" applyAlignment="1">
      <alignment horizontal="center" vertical="center"/>
    </xf>
    <xf numFmtId="49" fontId="17" fillId="0" borderId="19" xfId="0" applyNumberFormat="1" applyFont="1" applyBorder="1" applyAlignment="1">
      <alignment horizontal="center" vertical="center"/>
    </xf>
    <xf numFmtId="49" fontId="24" fillId="0" borderId="19" xfId="0" applyNumberFormat="1" applyFont="1" applyBorder="1" applyAlignment="1">
      <alignment horizontal="center" vertical="top" wrapText="1"/>
    </xf>
    <xf numFmtId="0" fontId="5" fillId="0" borderId="19" xfId="0" applyFont="1" applyBorder="1" applyAlignment="1">
      <alignment horizontal="left"/>
    </xf>
    <xf numFmtId="49" fontId="5" fillId="0" borderId="19" xfId="0" applyNumberFormat="1" applyFont="1" applyBorder="1" applyAlignment="1">
      <alignment horizontal="center" vertical="top" wrapText="1"/>
    </xf>
    <xf numFmtId="0" fontId="5" fillId="0" borderId="19" xfId="0" applyFont="1" applyBorder="1" applyAlignment="1">
      <alignment horizontal="left" wrapText="1"/>
    </xf>
    <xf numFmtId="49" fontId="6" fillId="0" borderId="19" xfId="0" applyNumberFormat="1" applyFont="1" applyBorder="1" applyAlignment="1">
      <alignment horizontal="center" vertical="center"/>
    </xf>
    <xf numFmtId="0" fontId="25" fillId="0" borderId="19" xfId="0" applyFont="1" applyBorder="1" applyAlignment="1">
      <alignment horizontal="left" vertical="center"/>
    </xf>
    <xf numFmtId="0" fontId="18" fillId="0" borderId="19" xfId="0" applyFont="1" applyBorder="1" applyAlignment="1">
      <alignment horizontal="center" vertical="center"/>
    </xf>
    <xf numFmtId="0" fontId="22" fillId="0" borderId="19" xfId="0" applyFont="1" applyBorder="1" applyAlignment="1">
      <alignment horizontal="left" vertical="center" wrapText="1"/>
    </xf>
    <xf numFmtId="0" fontId="4" fillId="0" borderId="19" xfId="0" applyFont="1" applyBorder="1" applyAlignment="1">
      <alignment horizontal="centerContinuous" vertical="center"/>
    </xf>
    <xf numFmtId="49" fontId="4" fillId="0" borderId="19" xfId="0" applyNumberFormat="1" applyFont="1" applyBorder="1" applyAlignment="1">
      <alignment vertical="center"/>
    </xf>
    <xf numFmtId="1" fontId="22" fillId="0" borderId="19" xfId="6" applyFont="1" applyAlignment="1">
      <alignment vertical="top" wrapText="1"/>
    </xf>
    <xf numFmtId="1" fontId="22" fillId="0" borderId="19" xfId="6" applyFont="1" applyAlignment="1">
      <alignment horizontal="left" vertical="top" wrapText="1" readingOrder="1"/>
    </xf>
    <xf numFmtId="0" fontId="0" fillId="0" borderId="0" xfId="0" applyAlignment="1">
      <alignment horizontal="left" vertical="top" wrapText="1"/>
    </xf>
    <xf numFmtId="0" fontId="4" fillId="0" borderId="0" xfId="0" applyFont="1" applyAlignment="1">
      <alignment horizontal="left" vertical="top" wrapText="1"/>
    </xf>
    <xf numFmtId="0" fontId="4" fillId="0" borderId="12" xfId="0" applyFont="1" applyBorder="1" applyAlignment="1">
      <alignment horizontal="center" vertical="top" wrapText="1"/>
    </xf>
    <xf numFmtId="0" fontId="0" fillId="0" borderId="18" xfId="0" applyBorder="1" applyAlignment="1">
      <alignment horizontal="center" vertical="top" wrapText="1"/>
    </xf>
    <xf numFmtId="49" fontId="0" fillId="0" borderId="19" xfId="0" applyNumberFormat="1" applyBorder="1" applyAlignment="1">
      <alignment horizontal="center" vertical="top" wrapText="1"/>
    </xf>
    <xf numFmtId="4" fontId="0" fillId="0" borderId="19" xfId="0" applyNumberFormat="1" applyBorder="1" applyAlignment="1">
      <alignment horizontal="center" vertical="top" wrapText="1"/>
    </xf>
    <xf numFmtId="3" fontId="0" fillId="0" borderId="19" xfId="0" applyNumberFormat="1" applyBorder="1" applyAlignment="1">
      <alignment horizontal="center" vertical="top" wrapText="1"/>
    </xf>
    <xf numFmtId="3" fontId="5" fillId="0" borderId="19" xfId="0" applyNumberFormat="1" applyFont="1" applyBorder="1" applyAlignment="1">
      <alignment horizontal="center" vertical="top" wrapText="1"/>
    </xf>
    <xf numFmtId="49" fontId="15" fillId="0" borderId="19" xfId="0" applyNumberFormat="1" applyFont="1" applyBorder="1" applyAlignment="1">
      <alignment horizontal="center" vertical="top" wrapText="1"/>
    </xf>
    <xf numFmtId="4" fontId="15" fillId="0" borderId="0" xfId="0" applyNumberFormat="1" applyFont="1" applyAlignment="1">
      <alignment horizontal="left" vertical="top" wrapText="1"/>
    </xf>
    <xf numFmtId="0" fontId="5" fillId="0" borderId="19" xfId="0" applyFont="1" applyBorder="1" applyAlignment="1">
      <alignment horizontal="center" vertical="top"/>
    </xf>
    <xf numFmtId="4" fontId="0" fillId="0" borderId="0" xfId="0" applyNumberFormat="1" applyAlignment="1">
      <alignment horizontal="left" vertical="top" wrapText="1"/>
    </xf>
    <xf numFmtId="166" fontId="5" fillId="0" borderId="19" xfId="0" applyNumberFormat="1" applyFont="1" applyBorder="1" applyAlignment="1">
      <alignment horizontal="center" vertical="top"/>
    </xf>
    <xf numFmtId="166" fontId="5" fillId="0" borderId="19" xfId="0" applyNumberFormat="1" applyFont="1" applyBorder="1" applyAlignment="1">
      <alignment vertical="top"/>
    </xf>
    <xf numFmtId="3" fontId="5" fillId="0" borderId="19" xfId="0" applyNumberFormat="1" applyFont="1" applyBorder="1" applyAlignment="1">
      <alignment horizontal="center" vertical="center" wrapText="1"/>
    </xf>
    <xf numFmtId="4" fontId="0" fillId="0" borderId="19" xfId="0" applyNumberFormat="1" applyBorder="1" applyAlignment="1">
      <alignment horizontal="center" vertical="center" wrapText="1"/>
    </xf>
    <xf numFmtId="3" fontId="0" fillId="0" borderId="19" xfId="0" applyNumberFormat="1" applyBorder="1" applyAlignment="1">
      <alignment horizontal="center" vertical="center" wrapText="1"/>
    </xf>
    <xf numFmtId="0" fontId="5" fillId="0" borderId="0" xfId="0" applyFont="1" applyAlignment="1">
      <alignment vertical="center" wrapText="1"/>
    </xf>
    <xf numFmtId="0" fontId="4" fillId="0" borderId="0" xfId="0" applyFont="1" applyAlignment="1">
      <alignment vertical="top" wrapText="1"/>
    </xf>
    <xf numFmtId="0" fontId="0" fillId="0" borderId="19" xfId="0" applyBorder="1" applyAlignment="1">
      <alignment horizontal="left" vertical="top" wrapText="1"/>
    </xf>
    <xf numFmtId="1" fontId="0" fillId="0" borderId="19" xfId="0" applyNumberFormat="1" applyBorder="1" applyAlignment="1">
      <alignment horizontal="center" vertical="top"/>
    </xf>
    <xf numFmtId="0" fontId="15" fillId="0" borderId="17" xfId="0" applyFont="1" applyBorder="1" applyAlignment="1">
      <alignment horizontal="left" vertical="top" wrapText="1"/>
    </xf>
    <xf numFmtId="166" fontId="0" fillId="0" borderId="19" xfId="0" applyNumberFormat="1" applyBorder="1" applyAlignment="1">
      <alignment horizontal="center" vertical="top" wrapText="1"/>
    </xf>
    <xf numFmtId="0" fontId="11" fillId="0" borderId="9" xfId="7" applyFont="1" applyBorder="1" applyAlignment="1">
      <alignment vertical="top" wrapText="1" readingOrder="1"/>
    </xf>
    <xf numFmtId="0" fontId="26" fillId="0" borderId="9" xfId="9" applyFont="1" applyBorder="1" applyAlignment="1">
      <alignment horizontal="left" vertical="center" wrapText="1"/>
    </xf>
    <xf numFmtId="167" fontId="27" fillId="0" borderId="9" xfId="7" applyNumberFormat="1" applyFont="1" applyBorder="1" applyAlignment="1">
      <alignment horizontal="center" vertical="top" wrapText="1" readingOrder="1"/>
    </xf>
    <xf numFmtId="0" fontId="28" fillId="0" borderId="9" xfId="7" applyFont="1" applyBorder="1" applyAlignment="1">
      <alignment horizontal="left" vertical="center" wrapText="1" readingOrder="1"/>
    </xf>
    <xf numFmtId="1" fontId="12" fillId="0" borderId="9" xfId="7" applyNumberFormat="1" applyFont="1" applyBorder="1" applyAlignment="1">
      <alignment horizontal="center" vertical="center" wrapText="1" readingOrder="1"/>
    </xf>
    <xf numFmtId="166" fontId="12" fillId="0" borderId="9" xfId="7" applyNumberFormat="1" applyFont="1" applyBorder="1" applyAlignment="1">
      <alignment horizontal="center" vertical="center" wrapText="1" readingOrder="1"/>
    </xf>
    <xf numFmtId="0" fontId="8" fillId="0" borderId="9" xfId="7" applyFont="1" applyBorder="1" applyAlignment="1">
      <alignment horizontal="left" vertical="center" wrapText="1" readingOrder="1"/>
    </xf>
    <xf numFmtId="0" fontId="29" fillId="0" borderId="9" xfId="7" applyFont="1" applyBorder="1"/>
    <xf numFmtId="0" fontId="1" fillId="0" borderId="0" xfId="5" applyFont="1" applyAlignment="1">
      <alignment horizontal="center" vertical="center"/>
    </xf>
    <xf numFmtId="0" fontId="1" fillId="0" borderId="0" xfId="5" applyFont="1"/>
    <xf numFmtId="0" fontId="1" fillId="0" borderId="0" xfId="5" applyFont="1" applyAlignment="1">
      <alignment horizontal="center"/>
    </xf>
    <xf numFmtId="3" fontId="1" fillId="0" borderId="0" xfId="5" applyNumberFormat="1" applyFont="1"/>
    <xf numFmtId="0" fontId="7" fillId="0" borderId="14" xfId="5" applyFont="1" applyBorder="1" applyAlignment="1">
      <alignment horizontal="center" vertical="center" wrapText="1" readingOrder="1"/>
    </xf>
    <xf numFmtId="0" fontId="11" fillId="0" borderId="14" xfId="5" applyFont="1" applyBorder="1" applyAlignment="1">
      <alignment horizontal="center" vertical="top" wrapText="1" readingOrder="1"/>
    </xf>
    <xf numFmtId="0" fontId="8" fillId="0" borderId="14" xfId="5" applyFont="1" applyBorder="1" applyAlignment="1">
      <alignment horizontal="center" vertical="top" wrapText="1" readingOrder="1"/>
    </xf>
    <xf numFmtId="3" fontId="8" fillId="0" borderId="14" xfId="5" applyNumberFormat="1" applyFont="1" applyBorder="1" applyAlignment="1" applyProtection="1">
      <alignment horizontal="left" vertical="top" wrapText="1" readingOrder="1"/>
      <protection locked="0"/>
    </xf>
    <xf numFmtId="0" fontId="8" fillId="0" borderId="9" xfId="7" applyFont="1" applyBorder="1" applyAlignment="1">
      <alignment horizontal="left" vertical="top" wrapText="1" readingOrder="1"/>
    </xf>
    <xf numFmtId="0" fontId="30" fillId="0" borderId="9" xfId="1" applyFont="1" applyBorder="1" applyAlignment="1">
      <alignment horizontal="center" vertical="top"/>
    </xf>
    <xf numFmtId="4" fontId="30" fillId="0" borderId="9" xfId="1" applyNumberFormat="1" applyFont="1" applyBorder="1" applyAlignment="1">
      <alignment horizontal="center" vertical="top"/>
    </xf>
    <xf numFmtId="3" fontId="31" fillId="0" borderId="9" xfId="1" applyNumberFormat="1" applyFont="1" applyBorder="1" applyAlignment="1">
      <alignment horizontal="center" vertical="center"/>
    </xf>
    <xf numFmtId="0" fontId="12" fillId="0" borderId="22" xfId="7" applyFont="1" applyBorder="1" applyAlignment="1">
      <alignment horizontal="center" vertical="center" wrapText="1" readingOrder="1"/>
    </xf>
    <xf numFmtId="0" fontId="32" fillId="0" borderId="9" xfId="9" applyFont="1" applyBorder="1" applyAlignment="1">
      <alignment horizontal="left" vertical="center" wrapText="1"/>
    </xf>
    <xf numFmtId="0" fontId="30" fillId="0" borderId="9" xfId="7" applyFont="1" applyBorder="1" applyAlignment="1">
      <alignment horizontal="left" vertical="top" wrapText="1"/>
    </xf>
    <xf numFmtId="0" fontId="12" fillId="0" borderId="9" xfId="7" applyFont="1" applyBorder="1" applyAlignment="1">
      <alignment horizontal="left" vertical="center" wrapText="1" readingOrder="1"/>
    </xf>
    <xf numFmtId="0" fontId="1" fillId="0" borderId="0" xfId="5" applyFont="1" applyAlignment="1">
      <alignment vertical="center"/>
    </xf>
    <xf numFmtId="0" fontId="33" fillId="0" borderId="0" xfId="7"/>
    <xf numFmtId="0" fontId="33" fillId="0" borderId="0" xfId="7" applyAlignment="1">
      <alignment wrapText="1"/>
    </xf>
    <xf numFmtId="0" fontId="34" fillId="0" borderId="9" xfId="9" applyFont="1" applyBorder="1" applyAlignment="1">
      <alignment horizontal="left" vertical="center" wrapText="1"/>
    </xf>
    <xf numFmtId="0" fontId="12" fillId="0" borderId="23" xfId="7" applyFont="1" applyBorder="1" applyAlignment="1">
      <alignment horizontal="center" vertical="top" wrapText="1" readingOrder="1"/>
    </xf>
    <xf numFmtId="0" fontId="9" fillId="0" borderId="0" xfId="10"/>
    <xf numFmtId="0" fontId="35" fillId="0" borderId="23" xfId="7" applyFont="1" applyBorder="1" applyAlignment="1">
      <alignment wrapText="1"/>
    </xf>
    <xf numFmtId="0" fontId="45" fillId="0" borderId="9" xfId="9" applyFont="1" applyBorder="1" applyAlignment="1">
      <alignment horizontal="left" vertical="center" wrapText="1"/>
    </xf>
    <xf numFmtId="0" fontId="48" fillId="0" borderId="9" xfId="7" applyFont="1" applyBorder="1" applyAlignment="1">
      <alignment horizontal="center" vertical="center" wrapText="1" readingOrder="1"/>
    </xf>
    <xf numFmtId="0" fontId="49" fillId="0" borderId="9" xfId="7" applyFont="1" applyBorder="1" applyAlignment="1">
      <alignment horizontal="left" vertical="center" wrapText="1" readingOrder="1"/>
    </xf>
    <xf numFmtId="0" fontId="50" fillId="0" borderId="9" xfId="7" applyFont="1" applyBorder="1" applyAlignment="1">
      <alignment horizontal="center" vertical="top" wrapText="1" readingOrder="1"/>
    </xf>
    <xf numFmtId="0" fontId="51" fillId="0" borderId="9" xfId="9" applyFont="1" applyBorder="1" applyAlignment="1">
      <alignment horizontal="left" vertical="center" wrapText="1"/>
    </xf>
    <xf numFmtId="3" fontId="48" fillId="0" borderId="9" xfId="7" applyNumberFormat="1" applyFont="1" applyBorder="1" applyAlignment="1">
      <alignment horizontal="center" vertical="center" wrapText="1" readingOrder="1"/>
    </xf>
    <xf numFmtId="3" fontId="48" fillId="0" borderId="9" xfId="7" applyNumberFormat="1" applyFont="1" applyBorder="1" applyAlignment="1" applyProtection="1">
      <alignment horizontal="left" vertical="center" wrapText="1" readingOrder="1"/>
      <protection locked="0"/>
    </xf>
    <xf numFmtId="2" fontId="0" fillId="0" borderId="18" xfId="0" applyNumberFormat="1" applyBorder="1" applyAlignment="1">
      <alignment horizontal="center" vertical="top" wrapText="1"/>
    </xf>
    <xf numFmtId="0" fontId="52" fillId="0" borderId="0" xfId="0" applyFont="1" applyAlignment="1">
      <alignment horizontal="left" vertical="top" wrapText="1"/>
    </xf>
    <xf numFmtId="0" fontId="54" fillId="0" borderId="0" xfId="0" applyFont="1" applyAlignment="1">
      <alignment horizontal="center" vertical="center"/>
    </xf>
    <xf numFmtId="167" fontId="54" fillId="0" borderId="0" xfId="0" applyNumberFormat="1" applyFont="1" applyAlignment="1">
      <alignment horizontal="right" vertical="top"/>
    </xf>
    <xf numFmtId="0" fontId="56" fillId="0" borderId="0" xfId="7" applyFont="1"/>
    <xf numFmtId="0" fontId="57" fillId="0" borderId="0" xfId="0" applyFont="1" applyAlignment="1">
      <alignment horizontal="center" vertical="top"/>
    </xf>
    <xf numFmtId="166" fontId="55" fillId="0" borderId="0" xfId="0" applyNumberFormat="1" applyFont="1" applyAlignment="1">
      <alignment horizontal="center" vertical="top"/>
    </xf>
    <xf numFmtId="167" fontId="58" fillId="0" borderId="0" xfId="0" applyNumberFormat="1" applyFont="1" applyAlignment="1">
      <alignment horizontal="right" vertical="top"/>
    </xf>
    <xf numFmtId="0" fontId="58" fillId="0" borderId="0" xfId="0" applyFont="1" applyAlignment="1">
      <alignment horizontal="center" vertical="top"/>
    </xf>
    <xf numFmtId="167" fontId="58" fillId="0" borderId="12" xfId="0" applyNumberFormat="1" applyFont="1" applyBorder="1" applyAlignment="1">
      <alignment horizontal="center" vertical="top"/>
    </xf>
    <xf numFmtId="167" fontId="58" fillId="0" borderId="13" xfId="0" applyNumberFormat="1" applyFont="1" applyBorder="1" applyAlignment="1">
      <alignment horizontal="center" vertical="top"/>
    </xf>
    <xf numFmtId="0" fontId="56" fillId="0" borderId="0" xfId="5" applyFont="1" applyAlignment="1">
      <alignment vertical="center"/>
    </xf>
    <xf numFmtId="3" fontId="48" fillId="0" borderId="14" xfId="5" applyNumberFormat="1" applyFont="1" applyBorder="1" applyAlignment="1" applyProtection="1">
      <alignment horizontal="left" vertical="top" wrapText="1" readingOrder="1"/>
      <protection locked="0"/>
    </xf>
    <xf numFmtId="3" fontId="59" fillId="0" borderId="9" xfId="1" applyNumberFormat="1" applyFont="1" applyBorder="1" applyAlignment="1">
      <alignment horizontal="center" vertical="center"/>
    </xf>
    <xf numFmtId="0" fontId="50" fillId="0" borderId="22" xfId="7" applyFont="1" applyBorder="1" applyAlignment="1">
      <alignment horizontal="center" vertical="center" wrapText="1" readingOrder="1"/>
    </xf>
    <xf numFmtId="0" fontId="60" fillId="0" borderId="9" xfId="1" applyFont="1" applyBorder="1" applyAlignment="1">
      <alignment horizontal="center" vertical="top"/>
    </xf>
    <xf numFmtId="0" fontId="50" fillId="0" borderId="9" xfId="7" applyFont="1" applyBorder="1" applyAlignment="1">
      <alignment horizontal="center" vertical="center" wrapText="1" readingOrder="1"/>
    </xf>
    <xf numFmtId="0" fontId="56" fillId="0" borderId="24" xfId="7" applyFont="1" applyBorder="1"/>
    <xf numFmtId="3" fontId="61" fillId="0" borderId="9" xfId="2" applyNumberFormat="1" applyFont="1" applyFill="1" applyBorder="1" applyAlignment="1" applyProtection="1">
      <alignment horizontal="center" vertical="center" wrapText="1" readingOrder="1"/>
      <protection locked="0"/>
    </xf>
    <xf numFmtId="164" fontId="61" fillId="0" borderId="9" xfId="4" applyFont="1" applyFill="1" applyBorder="1" applyAlignment="1" applyProtection="1">
      <alignment horizontal="center" vertical="center" wrapText="1" readingOrder="1"/>
      <protection locked="0"/>
    </xf>
    <xf numFmtId="167" fontId="62" fillId="0" borderId="12" xfId="0" applyNumberFormat="1" applyFont="1" applyBorder="1" applyAlignment="1">
      <alignment horizontal="right" vertical="top"/>
    </xf>
    <xf numFmtId="167" fontId="62" fillId="0" borderId="13" xfId="0" applyNumberFormat="1" applyFont="1" applyBorder="1" applyAlignment="1">
      <alignment horizontal="right" vertical="top"/>
    </xf>
    <xf numFmtId="3" fontId="56" fillId="0" borderId="0" xfId="5" applyNumberFormat="1" applyFont="1"/>
    <xf numFmtId="0" fontId="64" fillId="0" borderId="0" xfId="7" applyFont="1" applyAlignment="1">
      <alignment wrapText="1"/>
    </xf>
    <xf numFmtId="0" fontId="55" fillId="0" borderId="0" xfId="7" applyFont="1" applyAlignment="1">
      <alignment wrapText="1"/>
    </xf>
    <xf numFmtId="0" fontId="63" fillId="0" borderId="0" xfId="12"/>
    <xf numFmtId="0" fontId="48" fillId="0" borderId="14" xfId="7" applyFont="1" applyBorder="1" applyAlignment="1">
      <alignment horizontal="center" vertical="top" wrapText="1" readingOrder="1"/>
    </xf>
    <xf numFmtId="3" fontId="48" fillId="0" borderId="14" xfId="7" applyNumberFormat="1" applyFont="1" applyBorder="1" applyAlignment="1" applyProtection="1">
      <alignment horizontal="left" vertical="top" wrapText="1" readingOrder="1"/>
      <protection locked="0"/>
    </xf>
    <xf numFmtId="3" fontId="50" fillId="0" borderId="9" xfId="2" applyNumberFormat="1" applyFont="1" applyFill="1" applyBorder="1" applyAlignment="1" applyProtection="1">
      <alignment horizontal="left" vertical="center" wrapText="1" readingOrder="1"/>
      <protection locked="0"/>
    </xf>
    <xf numFmtId="0" fontId="65" fillId="0" borderId="0" xfId="0" applyFont="1" applyAlignment="1">
      <alignment horizontal="center" vertical="center" wrapText="1"/>
    </xf>
    <xf numFmtId="0" fontId="52" fillId="0" borderId="0" xfId="13" applyFont="1" applyAlignment="1">
      <alignment horizontal="center" vertical="center"/>
    </xf>
    <xf numFmtId="167" fontId="62" fillId="0" borderId="19" xfId="0" applyNumberFormat="1" applyFont="1" applyBorder="1" applyAlignment="1">
      <alignment horizontal="right" vertical="top"/>
    </xf>
    <xf numFmtId="167" fontId="62" fillId="0" borderId="20" xfId="0" applyNumberFormat="1" applyFont="1" applyBorder="1" applyAlignment="1">
      <alignment horizontal="right" vertical="top"/>
    </xf>
    <xf numFmtId="0" fontId="65" fillId="0" borderId="7" xfId="8" applyFont="1" applyBorder="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3" fontId="48" fillId="0" borderId="9" xfId="2" applyNumberFormat="1" applyFont="1" applyFill="1" applyBorder="1" applyAlignment="1" applyProtection="1">
      <alignment horizontal="justify" vertical="center" wrapText="1" readingOrder="1"/>
      <protection locked="0"/>
    </xf>
    <xf numFmtId="3" fontId="48" fillId="0" borderId="9" xfId="2" applyNumberFormat="1" applyFont="1" applyFill="1" applyBorder="1" applyAlignment="1" applyProtection="1">
      <alignment horizontal="left" vertical="center" wrapText="1" readingOrder="1"/>
      <protection locked="0"/>
    </xf>
    <xf numFmtId="3" fontId="48" fillId="0" borderId="9" xfId="2" applyNumberFormat="1" applyFont="1" applyFill="1" applyBorder="1" applyAlignment="1" applyProtection="1">
      <alignment horizontal="center" vertical="center" wrapText="1" readingOrder="1"/>
      <protection locked="0"/>
    </xf>
    <xf numFmtId="0" fontId="54" fillId="0" borderId="0" xfId="0" applyFont="1" applyAlignment="1">
      <alignment horizontal="left" vertical="center"/>
    </xf>
    <xf numFmtId="3" fontId="56" fillId="0" borderId="0" xfId="7" applyNumberFormat="1" applyFont="1" applyAlignment="1">
      <alignment vertical="center" wrapText="1"/>
    </xf>
    <xf numFmtId="3" fontId="49" fillId="3" borderId="7" xfId="7" applyNumberFormat="1" applyFont="1" applyFill="1" applyBorder="1" applyAlignment="1">
      <alignment horizontal="center" vertical="center" wrapText="1" readingOrder="1"/>
    </xf>
    <xf numFmtId="0" fontId="56" fillId="0" borderId="0" xfId="7" applyFont="1" applyAlignment="1">
      <alignment vertical="center"/>
    </xf>
    <xf numFmtId="3" fontId="49" fillId="3" borderId="8" xfId="7" applyNumberFormat="1" applyFont="1" applyFill="1" applyBorder="1" applyAlignment="1">
      <alignment horizontal="center" vertical="center" wrapText="1" readingOrder="1"/>
    </xf>
    <xf numFmtId="43" fontId="61" fillId="0" borderId="9" xfId="11" applyFont="1" applyFill="1" applyBorder="1" applyAlignment="1" applyProtection="1">
      <alignment horizontal="center" vertical="center" wrapText="1" readingOrder="1"/>
      <protection locked="0"/>
    </xf>
    <xf numFmtId="0" fontId="68" fillId="0" borderId="0" xfId="7" applyFont="1" applyAlignment="1">
      <alignment vertical="center" readingOrder="1"/>
    </xf>
    <xf numFmtId="43" fontId="48" fillId="0" borderId="9" xfId="11" applyFont="1" applyBorder="1" applyAlignment="1" applyProtection="1">
      <alignment horizontal="left" vertical="center" wrapText="1" readingOrder="1"/>
      <protection locked="0"/>
    </xf>
    <xf numFmtId="43" fontId="49" fillId="0" borderId="9" xfId="11" applyFont="1" applyBorder="1" applyAlignment="1" applyProtection="1">
      <alignment horizontal="center" vertical="center" wrapText="1" readingOrder="1"/>
      <protection locked="0"/>
    </xf>
    <xf numFmtId="43" fontId="48" fillId="0" borderId="9" xfId="11" applyFont="1" applyBorder="1" applyAlignment="1" applyProtection="1">
      <alignment horizontal="center" vertical="center" wrapText="1" readingOrder="1"/>
      <protection locked="0"/>
    </xf>
    <xf numFmtId="43" fontId="61" fillId="0" borderId="6" xfId="11" applyFont="1" applyFill="1" applyBorder="1" applyAlignment="1" applyProtection="1">
      <alignment horizontal="center" vertical="center" wrapText="1" readingOrder="1"/>
      <protection locked="0"/>
    </xf>
    <xf numFmtId="164" fontId="68" fillId="0" borderId="0" xfId="7" applyNumberFormat="1" applyFont="1"/>
    <xf numFmtId="3" fontId="56" fillId="0" borderId="0" xfId="7" applyNumberFormat="1" applyFont="1"/>
    <xf numFmtId="0" fontId="68" fillId="0" borderId="0" xfId="7" applyFont="1"/>
    <xf numFmtId="3" fontId="8" fillId="4" borderId="9" xfId="7" applyNumberFormat="1" applyFont="1" applyFill="1" applyBorder="1" applyAlignment="1">
      <alignment horizontal="center" vertical="center" wrapText="1" readingOrder="1"/>
    </xf>
    <xf numFmtId="0" fontId="50" fillId="4" borderId="9" xfId="7" applyFont="1" applyFill="1" applyBorder="1" applyAlignment="1">
      <alignment horizontal="center" vertical="top" wrapText="1" readingOrder="1"/>
    </xf>
    <xf numFmtId="0" fontId="12" fillId="4" borderId="9" xfId="7" applyFont="1" applyFill="1" applyBorder="1" applyAlignment="1">
      <alignment horizontal="center" vertical="top" wrapText="1" readingOrder="1"/>
    </xf>
    <xf numFmtId="0" fontId="45" fillId="4" borderId="9" xfId="9" applyFont="1" applyFill="1" applyBorder="1" applyAlignment="1">
      <alignment horizontal="left" vertical="center" wrapText="1"/>
    </xf>
    <xf numFmtId="0" fontId="48" fillId="4" borderId="9" xfId="7" applyFont="1" applyFill="1" applyBorder="1" applyAlignment="1">
      <alignment horizontal="center" vertical="center" wrapText="1" readingOrder="1"/>
    </xf>
    <xf numFmtId="0" fontId="50" fillId="4" borderId="22" xfId="7" applyFont="1" applyFill="1" applyBorder="1" applyAlignment="1">
      <alignment horizontal="center" vertical="center" wrapText="1" readingOrder="1"/>
    </xf>
    <xf numFmtId="0" fontId="0" fillId="4" borderId="18" xfId="0" applyFill="1" applyBorder="1" applyAlignment="1">
      <alignment horizontal="center" vertical="top"/>
    </xf>
    <xf numFmtId="49" fontId="0" fillId="4" borderId="19" xfId="0" applyNumberFormat="1" applyFill="1" applyBorder="1" applyAlignment="1">
      <alignment horizontal="center" vertical="center"/>
    </xf>
    <xf numFmtId="0" fontId="0" fillId="4" borderId="19" xfId="0" applyFill="1" applyBorder="1" applyAlignment="1">
      <alignment horizontal="left" vertical="center"/>
    </xf>
    <xf numFmtId="0" fontId="0" fillId="4" borderId="19" xfId="0" applyFill="1" applyBorder="1" applyAlignment="1">
      <alignment horizontal="center" vertical="center"/>
    </xf>
    <xf numFmtId="3" fontId="5" fillId="4" borderId="19" xfId="0" applyNumberFormat="1" applyFont="1" applyFill="1" applyBorder="1" applyAlignment="1">
      <alignment horizontal="center" vertical="center"/>
    </xf>
    <xf numFmtId="0" fontId="15" fillId="4" borderId="18" xfId="0" applyFont="1" applyFill="1" applyBorder="1" applyAlignment="1">
      <alignment horizontal="center" vertical="top"/>
    </xf>
    <xf numFmtId="167" fontId="62" fillId="4" borderId="13" xfId="0" applyNumberFormat="1" applyFont="1" applyFill="1" applyBorder="1" applyAlignment="1">
      <alignment horizontal="right" vertical="top"/>
    </xf>
    <xf numFmtId="2" fontId="12" fillId="4" borderId="9" xfId="7" quotePrefix="1" applyNumberFormat="1" applyFont="1" applyFill="1" applyBorder="1" applyAlignment="1">
      <alignment horizontal="center" vertical="center" wrapText="1" readingOrder="1"/>
    </xf>
    <xf numFmtId="0" fontId="50" fillId="4" borderId="9" xfId="7" quotePrefix="1" applyFont="1" applyFill="1" applyBorder="1" applyAlignment="1">
      <alignment horizontal="center" vertical="top" wrapText="1" readingOrder="1"/>
    </xf>
    <xf numFmtId="0" fontId="63" fillId="4" borderId="0" xfId="12" applyFill="1"/>
    <xf numFmtId="2" fontId="0" fillId="4" borderId="18" xfId="0" quotePrefix="1" applyNumberFormat="1" applyFill="1" applyBorder="1" applyAlignment="1">
      <alignment horizontal="center" vertical="top" wrapText="1"/>
    </xf>
    <xf numFmtId="0" fontId="0" fillId="4" borderId="0" xfId="0" applyFill="1" applyAlignment="1">
      <alignment vertical="top"/>
    </xf>
    <xf numFmtId="167" fontId="0" fillId="4" borderId="19" xfId="0" applyNumberFormat="1" applyFill="1" applyBorder="1" applyAlignment="1" applyProtection="1">
      <alignment horizontal="right" vertical="top"/>
      <protection locked="0"/>
    </xf>
    <xf numFmtId="167" fontId="0" fillId="4" borderId="20" xfId="0" applyNumberFormat="1" applyFill="1" applyBorder="1" applyAlignment="1">
      <alignment horizontal="right" vertical="top"/>
    </xf>
    <xf numFmtId="3" fontId="0" fillId="4" borderId="19" xfId="0" applyNumberFormat="1" applyFill="1" applyBorder="1" applyAlignment="1">
      <alignment horizontal="center" vertical="center" wrapText="1"/>
    </xf>
    <xf numFmtId="167" fontId="0" fillId="4" borderId="0" xfId="0" applyNumberFormat="1" applyFill="1" applyAlignment="1">
      <alignment horizontal="right" vertical="top"/>
    </xf>
    <xf numFmtId="0" fontId="4" fillId="0" borderId="10" xfId="0" applyFont="1" applyBorder="1" applyAlignment="1">
      <alignment horizontal="center" vertical="top"/>
    </xf>
    <xf numFmtId="0" fontId="4" fillId="0" borderId="17" xfId="0" applyFont="1" applyBorder="1" applyAlignment="1">
      <alignment horizontal="center" vertical="top"/>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top"/>
    </xf>
    <xf numFmtId="0" fontId="4" fillId="0" borderId="0" xfId="0" applyFont="1" applyAlignment="1">
      <alignment horizontal="center" vertical="top" wrapText="1"/>
    </xf>
    <xf numFmtId="166" fontId="12" fillId="0" borderId="15" xfId="7" applyNumberFormat="1" applyFont="1" applyBorder="1" applyAlignment="1">
      <alignment horizontal="center" vertical="center" wrapText="1" readingOrder="1"/>
    </xf>
    <xf numFmtId="166" fontId="12" fillId="0" borderId="19" xfId="7" applyNumberFormat="1" applyFont="1" applyBorder="1" applyAlignment="1">
      <alignment horizontal="center" vertical="center" wrapText="1" readingOrder="1"/>
    </xf>
    <xf numFmtId="166" fontId="12" fillId="0" borderId="16" xfId="7" applyNumberFormat="1" applyFont="1" applyBorder="1" applyAlignment="1">
      <alignment horizontal="center" vertical="center" wrapText="1" readingOrder="1"/>
    </xf>
    <xf numFmtId="0" fontId="12" fillId="0" borderId="15" xfId="7" applyFont="1" applyBorder="1" applyAlignment="1">
      <alignment horizontal="center" vertical="center" wrapText="1" readingOrder="1"/>
    </xf>
    <xf numFmtId="0" fontId="12" fillId="0" borderId="19" xfId="7" applyFont="1" applyBorder="1" applyAlignment="1">
      <alignment horizontal="center" vertical="center" wrapText="1" readingOrder="1"/>
    </xf>
    <xf numFmtId="0" fontId="12" fillId="0" borderId="16" xfId="7" applyFont="1" applyBorder="1" applyAlignment="1">
      <alignment horizontal="center" vertical="center" wrapText="1" readingOrder="1"/>
    </xf>
    <xf numFmtId="1" fontId="12" fillId="0" borderId="15" xfId="7" applyNumberFormat="1" applyFont="1" applyBorder="1" applyAlignment="1">
      <alignment horizontal="center" vertical="center" wrapText="1" readingOrder="1"/>
    </xf>
    <xf numFmtId="1" fontId="12" fillId="0" borderId="19" xfId="7" applyNumberFormat="1" applyFont="1" applyBorder="1" applyAlignment="1">
      <alignment horizontal="center" vertical="center" wrapText="1" readingOrder="1"/>
    </xf>
    <xf numFmtId="1" fontId="12" fillId="0" borderId="16" xfId="7" applyNumberFormat="1" applyFont="1" applyBorder="1" applyAlignment="1">
      <alignment horizontal="center" vertical="center" wrapText="1" readingOrder="1"/>
    </xf>
    <xf numFmtId="0" fontId="3" fillId="0" borderId="0" xfId="0" applyFont="1" applyAlignment="1">
      <alignment vertical="center"/>
    </xf>
    <xf numFmtId="0" fontId="4" fillId="0" borderId="11" xfId="0" applyFont="1" applyBorder="1" applyAlignment="1">
      <alignment horizontal="center" vertical="top"/>
    </xf>
    <xf numFmtId="49" fontId="0" fillId="0" borderId="19" xfId="0" applyNumberFormat="1" applyBorder="1" applyAlignment="1">
      <alignment horizontal="center" vertical="center"/>
    </xf>
    <xf numFmtId="0" fontId="0" fillId="0" borderId="19" xfId="0" applyBorder="1" applyAlignment="1">
      <alignment horizontal="left" vertical="center" wrapText="1"/>
    </xf>
    <xf numFmtId="0" fontId="50" fillId="0" borderId="15" xfId="7" applyFont="1" applyBorder="1" applyAlignment="1">
      <alignment horizontal="center" vertical="center" wrapText="1" readingOrder="1"/>
    </xf>
    <xf numFmtId="0" fontId="50" fillId="0" borderId="16" xfId="7" applyFont="1" applyBorder="1" applyAlignment="1">
      <alignment horizontal="center" vertical="center" wrapText="1" readingOrder="1"/>
    </xf>
    <xf numFmtId="0" fontId="6" fillId="0" borderId="1" xfId="7" applyFont="1" applyBorder="1" applyAlignment="1">
      <alignment horizontal="center" vertical="center"/>
    </xf>
    <xf numFmtId="0" fontId="6" fillId="0" borderId="2" xfId="7" applyFont="1" applyBorder="1" applyAlignment="1">
      <alignment horizontal="center" vertical="center"/>
    </xf>
    <xf numFmtId="0" fontId="6" fillId="0" borderId="3" xfId="7" applyFont="1" applyBorder="1" applyAlignment="1">
      <alignment horizontal="center" vertical="center"/>
    </xf>
    <xf numFmtId="0" fontId="7" fillId="2" borderId="6" xfId="7" applyFont="1" applyFill="1" applyBorder="1" applyAlignment="1">
      <alignment horizontal="center" vertical="center" wrapText="1" readingOrder="1"/>
    </xf>
    <xf numFmtId="0" fontId="7" fillId="2" borderId="6" xfId="7" applyFont="1" applyFill="1" applyBorder="1" applyAlignment="1">
      <alignment horizontal="center" vertical="center" wrapText="1"/>
    </xf>
    <xf numFmtId="3" fontId="7" fillId="2" borderId="6" xfId="7" applyNumberFormat="1" applyFont="1" applyFill="1" applyBorder="1" applyAlignment="1">
      <alignment horizontal="center" vertical="center" wrapText="1" readingOrder="1"/>
    </xf>
    <xf numFmtId="0" fontId="7" fillId="2" borderId="4" xfId="7" applyFont="1" applyFill="1" applyBorder="1" applyAlignment="1">
      <alignment horizontal="center" vertical="center" wrapText="1" readingOrder="1"/>
    </xf>
    <xf numFmtId="0" fontId="7" fillId="2" borderId="5" xfId="7" applyFont="1" applyFill="1" applyBorder="1" applyAlignment="1">
      <alignment horizontal="center" vertical="center" wrapText="1" readingOrder="1"/>
    </xf>
    <xf numFmtId="0" fontId="7" fillId="2" borderId="1" xfId="7" applyFont="1" applyFill="1" applyBorder="1" applyAlignment="1">
      <alignment horizontal="center" vertical="center" wrapText="1" readingOrder="1"/>
    </xf>
    <xf numFmtId="0" fontId="7" fillId="2" borderId="3" xfId="7" applyFont="1" applyFill="1" applyBorder="1" applyAlignment="1">
      <alignment horizontal="center" vertical="center" wrapText="1" readingOrder="1"/>
    </xf>
  </cellXfs>
  <cellStyles count="14">
    <cellStyle name="0,0_x000d__x000a_NA_x000d__x000a_ 2" xfId="1" xr:uid="{00000000-0005-0000-0000-000031000000}"/>
    <cellStyle name="Comma" xfId="11" builtinId="3"/>
    <cellStyle name="Comma 2 2" xfId="2" xr:uid="{00000000-0005-0000-0000-000032000000}"/>
    <cellStyle name="Comma 3" xfId="3" xr:uid="{00000000-0005-0000-0000-000033000000}"/>
    <cellStyle name="Comma 3 2" xfId="4" xr:uid="{00000000-0005-0000-0000-000034000000}"/>
    <cellStyle name="Normal" xfId="0" builtinId="0"/>
    <cellStyle name="Normal 2 2 2" xfId="5" xr:uid="{00000000-0005-0000-0000-000035000000}"/>
    <cellStyle name="Normal 3" xfId="6" xr:uid="{00000000-0005-0000-0000-000036000000}"/>
    <cellStyle name="Normal 3 3" xfId="7" xr:uid="{00000000-0005-0000-0000-000037000000}"/>
    <cellStyle name="Normal 4" xfId="13" xr:uid="{232353EF-4D90-4370-9308-B72E61AD0005}"/>
    <cellStyle name="Normal 5" xfId="8" xr:uid="{00000000-0005-0000-0000-000038000000}"/>
    <cellStyle name="Normal 53" xfId="9" xr:uid="{00000000-0005-0000-0000-000039000000}"/>
    <cellStyle name="Normal 53 2" xfId="12" xr:uid="{BF504B90-9FE9-46C9-9186-B251E2E12AEB}"/>
    <cellStyle name="Normal 7" xfId="10" xr:uid="{00000000-0005-0000-0000-00003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2</xdr:col>
      <xdr:colOff>3089237</xdr:colOff>
      <xdr:row>10</xdr:row>
      <xdr:rowOff>224118</xdr:rowOff>
    </xdr:from>
    <xdr:to>
      <xdr:col>3</xdr:col>
      <xdr:colOff>328922</xdr:colOff>
      <xdr:row>11</xdr:row>
      <xdr:rowOff>963705</xdr:rowOff>
    </xdr:to>
    <xdr:sp macro="" textlink="">
      <xdr:nvSpPr>
        <xdr:cNvPr id="2" name="Right Brace 1">
          <a:extLst>
            <a:ext uri="{FF2B5EF4-FFF2-40B4-BE49-F238E27FC236}">
              <a16:creationId xmlns:a16="http://schemas.microsoft.com/office/drawing/2014/main" id="{00000000-0008-0000-0900-000002000000}"/>
            </a:ext>
          </a:extLst>
        </xdr:cNvPr>
        <xdr:cNvSpPr/>
      </xdr:nvSpPr>
      <xdr:spPr>
        <a:xfrm>
          <a:off x="4345940" y="4233545"/>
          <a:ext cx="497205" cy="1730375"/>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 /><Relationship Id="rId2" Type="http://schemas.openxmlformats.org/officeDocument/2006/relationships/vmlDrawing" Target="../drawings/vmlDrawing3.v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5"/>
  <sheetViews>
    <sheetView tabSelected="1" view="pageBreakPreview" topLeftCell="A16" zoomScale="64" zoomScaleNormal="40" zoomScaleSheetLayoutView="64" workbookViewId="0">
      <selection activeCell="G25" sqref="G25"/>
    </sheetView>
  </sheetViews>
  <sheetFormatPr defaultColWidth="9.16796875" defaultRowHeight="15" x14ac:dyDescent="0.2"/>
  <cols>
    <col min="1" max="2" width="5.66015625" style="158" customWidth="1"/>
    <col min="3" max="3" width="60.14453125" style="159" customWidth="1"/>
    <col min="4" max="4" width="6.60546875" style="160" customWidth="1"/>
    <col min="5" max="5" width="7.8203125" style="160" customWidth="1"/>
    <col min="6" max="6" width="20.6328125" style="210" customWidth="1"/>
    <col min="7" max="7" width="19.1484375" style="210" customWidth="1"/>
    <col min="8" max="16384" width="9.16796875" style="179"/>
  </cols>
  <sheetData>
    <row r="1" spans="1:15" s="5" customFormat="1" ht="27.75" customHeight="1" x14ac:dyDescent="0.15">
      <c r="A1" s="8" t="s">
        <v>0</v>
      </c>
      <c r="B1" s="8"/>
      <c r="C1" s="265" t="s">
        <v>1</v>
      </c>
      <c r="D1" s="265"/>
      <c r="E1" s="265"/>
      <c r="F1" s="190"/>
      <c r="G1" s="191"/>
    </row>
    <row r="2" spans="1:15" s="5" customFormat="1" ht="22.5" customHeight="1" x14ac:dyDescent="0.15">
      <c r="A2" s="8" t="s">
        <v>2</v>
      </c>
      <c r="B2" s="8"/>
      <c r="C2" s="266" t="s">
        <v>3</v>
      </c>
      <c r="D2" s="266"/>
      <c r="E2" s="266"/>
      <c r="F2" s="193"/>
      <c r="G2" s="191"/>
    </row>
    <row r="3" spans="1:15" s="5" customFormat="1" ht="22.5" customHeight="1" x14ac:dyDescent="0.15">
      <c r="A3" s="11" t="s">
        <v>4</v>
      </c>
      <c r="B3" s="11"/>
      <c r="C3" s="267"/>
      <c r="D3" s="267"/>
      <c r="E3" s="267"/>
      <c r="F3" s="194"/>
      <c r="G3" s="195"/>
    </row>
    <row r="4" spans="1:15" s="5" customFormat="1" ht="63.75" customHeight="1" x14ac:dyDescent="0.15">
      <c r="A4" s="11" t="s">
        <v>5</v>
      </c>
      <c r="B4" s="11"/>
      <c r="C4" s="268" t="s">
        <v>6</v>
      </c>
      <c r="D4" s="268"/>
      <c r="E4" s="268"/>
      <c r="F4" s="196"/>
      <c r="G4" s="195"/>
    </row>
    <row r="5" spans="1:15" s="174" customFormat="1" ht="15.6" customHeight="1" x14ac:dyDescent="0.15">
      <c r="A5" s="263" t="s">
        <v>7</v>
      </c>
      <c r="B5" s="264"/>
      <c r="C5" s="37" t="s">
        <v>8</v>
      </c>
      <c r="D5" s="38" t="s">
        <v>9</v>
      </c>
      <c r="E5" s="39" t="s">
        <v>10</v>
      </c>
      <c r="F5" s="197" t="s">
        <v>11</v>
      </c>
      <c r="G5" s="198" t="s">
        <v>12</v>
      </c>
    </row>
    <row r="6" spans="1:15" s="175" customFormat="1" ht="14.25" x14ac:dyDescent="0.15">
      <c r="A6" s="162"/>
      <c r="B6" s="162"/>
      <c r="C6" s="163"/>
      <c r="D6" s="164"/>
      <c r="E6" s="164"/>
      <c r="F6" s="200"/>
      <c r="G6" s="200"/>
    </row>
    <row r="7" spans="1:15" s="5" customFormat="1" ht="39" customHeight="1" x14ac:dyDescent="0.15">
      <c r="A7" s="16">
        <v>1</v>
      </c>
      <c r="B7" s="16"/>
      <c r="C7" s="44" t="s">
        <v>13</v>
      </c>
      <c r="D7" s="18"/>
      <c r="E7" s="20"/>
      <c r="F7" s="187"/>
      <c r="G7" s="187"/>
    </row>
    <row r="8" spans="1:15" s="5" customFormat="1" ht="39" customHeight="1" x14ac:dyDescent="0.15">
      <c r="A8" s="16"/>
      <c r="B8" s="16"/>
      <c r="C8" s="151" t="s">
        <v>14</v>
      </c>
      <c r="D8" s="18"/>
      <c r="E8" s="20"/>
      <c r="F8" s="187"/>
      <c r="G8" s="187"/>
    </row>
    <row r="9" spans="1:15" s="5" customFormat="1" ht="72.75" customHeight="1" x14ac:dyDescent="0.15">
      <c r="A9" s="16"/>
      <c r="B9" s="16"/>
      <c r="C9" s="151" t="s">
        <v>15</v>
      </c>
      <c r="D9" s="18"/>
      <c r="E9" s="20"/>
      <c r="F9" s="187"/>
      <c r="G9" s="187"/>
    </row>
    <row r="10" spans="1:15" s="5" customFormat="1" ht="283.5" customHeight="1" x14ac:dyDescent="0.15">
      <c r="A10" s="16"/>
      <c r="B10" s="16"/>
      <c r="C10" s="151" t="s">
        <v>16</v>
      </c>
      <c r="D10" s="18"/>
      <c r="E10" s="20"/>
      <c r="F10" s="187"/>
      <c r="G10" s="187"/>
    </row>
    <row r="11" spans="1:15" s="5" customFormat="1" x14ac:dyDescent="0.15">
      <c r="A11" s="48"/>
      <c r="B11" s="48"/>
      <c r="C11" s="172"/>
      <c r="D11" s="167"/>
      <c r="E11" s="168"/>
      <c r="F11" s="201"/>
      <c r="G11" s="201"/>
    </row>
    <row r="12" spans="1:15" s="5" customFormat="1" ht="18" customHeight="1" x14ac:dyDescent="0.15">
      <c r="A12" s="48">
        <v>1.1000000000000001</v>
      </c>
      <c r="B12" s="48"/>
      <c r="C12" s="166" t="s">
        <v>17</v>
      </c>
      <c r="D12" s="18"/>
      <c r="E12" s="20"/>
      <c r="F12" s="187"/>
      <c r="G12" s="187"/>
    </row>
    <row r="13" spans="1:15" s="5" customFormat="1" ht="171.75" customHeight="1" x14ac:dyDescent="0.15">
      <c r="A13" s="16"/>
      <c r="B13" s="16"/>
      <c r="C13" s="151" t="s">
        <v>18</v>
      </c>
      <c r="D13" s="18"/>
      <c r="E13" s="20"/>
      <c r="F13" s="187"/>
      <c r="G13" s="187"/>
    </row>
    <row r="14" spans="1:15" s="5" customFormat="1" x14ac:dyDescent="0.15">
      <c r="A14" s="48"/>
      <c r="B14" s="48"/>
      <c r="C14" s="172"/>
      <c r="D14" s="167"/>
      <c r="E14" s="168"/>
      <c r="F14" s="201"/>
      <c r="G14" s="201"/>
    </row>
    <row r="15" spans="1:15" s="5" customFormat="1" ht="39" customHeight="1" x14ac:dyDescent="0.15">
      <c r="A15" s="48" t="s">
        <v>19</v>
      </c>
      <c r="B15" s="48"/>
      <c r="C15" s="173" t="s">
        <v>20</v>
      </c>
      <c r="D15" s="49" t="s">
        <v>21</v>
      </c>
      <c r="E15" s="49">
        <v>1514</v>
      </c>
      <c r="F15" s="202">
        <v>31</v>
      </c>
      <c r="G15" s="202">
        <f>F15*E15</f>
        <v>46934</v>
      </c>
    </row>
    <row r="16" spans="1:15" s="5" customFormat="1" ht="14.25" x14ac:dyDescent="0.15">
      <c r="A16" s="48"/>
      <c r="B16" s="48"/>
      <c r="C16" s="172"/>
      <c r="D16" s="167"/>
      <c r="E16" s="168"/>
      <c r="F16" s="203"/>
      <c r="G16" s="203"/>
    </row>
    <row r="17" spans="1:15" s="5" customFormat="1" ht="14.25" x14ac:dyDescent="0.15">
      <c r="A17" s="48"/>
      <c r="B17" s="48"/>
      <c r="C17" s="172"/>
      <c r="D17" s="167"/>
      <c r="E17" s="168"/>
      <c r="F17" s="203"/>
      <c r="G17" s="203"/>
    </row>
    <row r="18" spans="1:15" s="176" customFormat="1" ht="120" x14ac:dyDescent="0.15">
      <c r="A18" s="48">
        <v>1.2</v>
      </c>
      <c r="B18" s="48"/>
      <c r="C18" s="166" t="s">
        <v>22</v>
      </c>
      <c r="D18" s="49"/>
      <c r="E18" s="154"/>
      <c r="F18" s="204"/>
      <c r="G18" s="204"/>
    </row>
    <row r="19" spans="1:15" s="5" customFormat="1" ht="27" x14ac:dyDescent="0.15">
      <c r="A19" s="48"/>
      <c r="B19" s="48"/>
      <c r="C19" s="151" t="s">
        <v>23</v>
      </c>
      <c r="D19" s="167"/>
      <c r="E19" s="168"/>
      <c r="F19" s="203"/>
      <c r="G19" s="203"/>
    </row>
    <row r="20" spans="1:15" s="5" customFormat="1" ht="51.75" x14ac:dyDescent="0.15">
      <c r="A20" s="48" t="s">
        <v>24</v>
      </c>
      <c r="B20" s="48"/>
      <c r="C20" s="173" t="s">
        <v>25</v>
      </c>
      <c r="D20" s="49" t="s">
        <v>21</v>
      </c>
      <c r="E20" s="49">
        <v>915</v>
      </c>
      <c r="F20" s="202">
        <v>74</v>
      </c>
      <c r="G20" s="202">
        <f>F20*E20</f>
        <v>67710</v>
      </c>
    </row>
    <row r="21" spans="1:15" s="5" customFormat="1" ht="39" customHeight="1" x14ac:dyDescent="0.15">
      <c r="A21" s="48" t="s">
        <v>26</v>
      </c>
      <c r="B21" s="48"/>
      <c r="C21" s="173" t="s">
        <v>27</v>
      </c>
      <c r="D21" s="49" t="s">
        <v>21</v>
      </c>
      <c r="E21" s="49">
        <v>5865</v>
      </c>
      <c r="F21" s="202">
        <v>37</v>
      </c>
      <c r="G21" s="202">
        <f>F21*E21</f>
        <v>217005</v>
      </c>
    </row>
    <row r="22" spans="1:15" s="5" customFormat="1" ht="24.75" x14ac:dyDescent="0.15">
      <c r="A22" s="48" t="s">
        <v>28</v>
      </c>
      <c r="B22" s="48"/>
      <c r="C22" s="173" t="s">
        <v>29</v>
      </c>
      <c r="D22" s="49" t="s">
        <v>21</v>
      </c>
      <c r="E22" s="49">
        <v>475</v>
      </c>
      <c r="F22" s="202">
        <v>69</v>
      </c>
      <c r="G22" s="202">
        <f>F22*E22</f>
        <v>32775</v>
      </c>
    </row>
    <row r="23" spans="1:15" s="5" customFormat="1" ht="49.5" x14ac:dyDescent="0.15">
      <c r="A23" s="48" t="s">
        <v>580</v>
      </c>
      <c r="B23" s="48"/>
      <c r="C23" s="173" t="s">
        <v>581</v>
      </c>
      <c r="D23" s="49" t="s">
        <v>94</v>
      </c>
      <c r="E23" s="49">
        <v>1</v>
      </c>
      <c r="F23" s="202">
        <v>5503</v>
      </c>
      <c r="G23" s="202">
        <f>F23*E23</f>
        <v>5503</v>
      </c>
    </row>
    <row r="24" spans="1:15" s="176" customFormat="1" ht="15.75" x14ac:dyDescent="0.2">
      <c r="A24" s="48"/>
      <c r="B24" s="178"/>
      <c r="C24" s="180"/>
      <c r="D24" s="49"/>
      <c r="E24" s="154"/>
      <c r="F24" s="206"/>
      <c r="G24" s="207"/>
    </row>
    <row r="25" spans="1:15" s="176" customFormat="1" ht="15" customHeight="1" x14ac:dyDescent="0.15">
      <c r="A25" s="53" t="s">
        <v>30</v>
      </c>
      <c r="B25" s="54"/>
      <c r="C25" s="148"/>
      <c r="D25" s="56"/>
      <c r="E25" s="56"/>
      <c r="F25" s="208"/>
      <c r="G25" s="253">
        <f>SUM(G15:G24)</f>
        <v>369927</v>
      </c>
    </row>
  </sheetData>
  <mergeCells count="5">
    <mergeCell ref="A5:B5"/>
    <mergeCell ref="C1:E1"/>
    <mergeCell ref="C2:E2"/>
    <mergeCell ref="C3:E3"/>
    <mergeCell ref="C4:E4"/>
  </mergeCells>
  <phoneticPr fontId="44" type="noConversion"/>
  <printOptions horizontalCentered="1"/>
  <pageMargins left="0.70866141732283505" right="0.70866141732283505" top="0.74803149606299202" bottom="0.74803149606299202" header="0.31496062992126" footer="0.31496062992126"/>
  <pageSetup paperSize="9" scale="58"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2"/>
  <sheetViews>
    <sheetView view="pageBreakPreview" topLeftCell="C1" zoomScaleNormal="40" workbookViewId="0">
      <selection activeCell="H5" sqref="H5"/>
    </sheetView>
  </sheetViews>
  <sheetFormatPr defaultColWidth="9.16796875" defaultRowHeight="15" x14ac:dyDescent="0.2"/>
  <cols>
    <col min="1" max="2" width="5.66015625" style="158" customWidth="1"/>
    <col min="3" max="3" width="58.12109375" style="159" customWidth="1"/>
    <col min="4" max="4" width="7.55078125" style="160" customWidth="1"/>
    <col min="5" max="5" width="7.28125" style="160" customWidth="1"/>
    <col min="6" max="6" width="20.6328125" style="210" customWidth="1"/>
    <col min="7" max="7" width="19.1484375" style="210" customWidth="1"/>
    <col min="8" max="9" width="9.16796875" style="29"/>
    <col min="10" max="12" width="11.59375" style="29" bestFit="1" customWidth="1"/>
    <col min="13" max="16384" width="9.16796875" style="29"/>
  </cols>
  <sheetData>
    <row r="1" spans="1:17" s="5" customFormat="1" ht="21" customHeight="1" x14ac:dyDescent="0.15">
      <c r="A1" s="8" t="s">
        <v>0</v>
      </c>
      <c r="B1" s="8"/>
      <c r="C1" s="265" t="s">
        <v>1</v>
      </c>
      <c r="D1" s="265"/>
      <c r="E1" s="265"/>
      <c r="F1" s="190"/>
      <c r="G1" s="191"/>
    </row>
    <row r="2" spans="1:17" s="5" customFormat="1" ht="22.5" customHeight="1" x14ac:dyDescent="0.15">
      <c r="A2" s="8" t="s">
        <v>2</v>
      </c>
      <c r="B2" s="8"/>
      <c r="C2" s="266" t="s">
        <v>3</v>
      </c>
      <c r="D2" s="266"/>
      <c r="E2" s="266"/>
      <c r="F2" s="193"/>
      <c r="G2" s="191"/>
    </row>
    <row r="3" spans="1:17" s="5" customFormat="1" ht="22.5" customHeight="1" x14ac:dyDescent="0.15">
      <c r="A3" s="11" t="s">
        <v>4</v>
      </c>
      <c r="B3" s="11"/>
      <c r="C3" s="267"/>
      <c r="D3" s="267"/>
      <c r="E3" s="267"/>
      <c r="F3" s="194"/>
      <c r="G3" s="195"/>
    </row>
    <row r="4" spans="1:17" s="5" customFormat="1" ht="15.75" customHeight="1" x14ac:dyDescent="0.15">
      <c r="A4" s="11" t="s">
        <v>5</v>
      </c>
      <c r="B4" s="11"/>
      <c r="C4" s="268" t="s">
        <v>31</v>
      </c>
      <c r="D4" s="268"/>
      <c r="E4" s="268"/>
      <c r="F4" s="196"/>
      <c r="G4" s="195"/>
    </row>
    <row r="5" spans="1:17" s="174" customFormat="1" ht="17.25" customHeight="1" x14ac:dyDescent="0.15">
      <c r="A5" s="263" t="s">
        <v>7</v>
      </c>
      <c r="B5" s="264"/>
      <c r="C5" s="37" t="s">
        <v>8</v>
      </c>
      <c r="D5" s="38" t="s">
        <v>9</v>
      </c>
      <c r="E5" s="39" t="s">
        <v>10</v>
      </c>
      <c r="F5" s="197" t="s">
        <v>11</v>
      </c>
      <c r="G5" s="198" t="s">
        <v>12</v>
      </c>
    </row>
    <row r="6" spans="1:17" s="175" customFormat="1" ht="14.25" x14ac:dyDescent="0.15">
      <c r="A6" s="162"/>
      <c r="B6" s="162"/>
      <c r="C6" s="163"/>
      <c r="D6" s="164"/>
      <c r="E6" s="164"/>
      <c r="F6" s="200"/>
      <c r="G6" s="200"/>
    </row>
    <row r="7" spans="1:17" s="5" customFormat="1" ht="25.5" customHeight="1" x14ac:dyDescent="0.15">
      <c r="A7" s="16">
        <v>2</v>
      </c>
      <c r="B7" s="16"/>
      <c r="C7" s="44" t="s">
        <v>32</v>
      </c>
      <c r="D7" s="18"/>
      <c r="E7" s="20"/>
      <c r="F7" s="187"/>
      <c r="G7" s="187"/>
    </row>
    <row r="8" spans="1:17" s="176" customFormat="1" ht="14.25" x14ac:dyDescent="0.15">
      <c r="A8" s="16"/>
      <c r="B8" s="16"/>
      <c r="C8" s="151"/>
      <c r="D8" s="18"/>
      <c r="E8" s="20"/>
      <c r="F8" s="187"/>
      <c r="G8" s="187"/>
    </row>
    <row r="9" spans="1:17" s="175" customFormat="1" ht="37.5" customHeight="1" x14ac:dyDescent="0.15">
      <c r="A9" s="16"/>
      <c r="B9" s="16"/>
      <c r="C9" s="151" t="s">
        <v>33</v>
      </c>
      <c r="D9" s="18"/>
      <c r="E9" s="20"/>
      <c r="F9" s="187"/>
      <c r="G9" s="187"/>
    </row>
    <row r="10" spans="1:17" s="176" customFormat="1" ht="14.25" x14ac:dyDescent="0.15">
      <c r="A10" s="16"/>
      <c r="B10" s="16"/>
      <c r="C10" s="151"/>
      <c r="D10" s="18"/>
      <c r="E10" s="20"/>
      <c r="F10" s="187"/>
      <c r="G10" s="187"/>
    </row>
    <row r="11" spans="1:17" s="176" customFormat="1" ht="192" customHeight="1" x14ac:dyDescent="0.15">
      <c r="A11" s="48"/>
      <c r="B11" s="48"/>
      <c r="C11" s="177" t="s">
        <v>34</v>
      </c>
      <c r="D11" s="167"/>
      <c r="E11" s="168"/>
      <c r="F11" s="201"/>
      <c r="G11" s="201"/>
    </row>
    <row r="12" spans="1:17" s="176" customFormat="1" ht="14.25" x14ac:dyDescent="0.15">
      <c r="A12" s="48"/>
      <c r="B12" s="48"/>
      <c r="C12" s="166"/>
      <c r="D12" s="18"/>
      <c r="E12" s="20"/>
      <c r="F12" s="187"/>
      <c r="G12" s="187"/>
    </row>
    <row r="13" spans="1:17" s="176" customFormat="1" ht="27" customHeight="1" x14ac:dyDescent="0.15">
      <c r="A13" s="16"/>
      <c r="B13" s="16"/>
      <c r="C13" s="151" t="s">
        <v>35</v>
      </c>
      <c r="D13" s="18"/>
      <c r="E13" s="20"/>
      <c r="F13" s="187"/>
      <c r="G13" s="187"/>
    </row>
    <row r="14" spans="1:17" s="176" customFormat="1" ht="25.5" customHeight="1" x14ac:dyDescent="0.15">
      <c r="A14" s="48"/>
      <c r="B14" s="48"/>
      <c r="C14" s="151"/>
      <c r="D14" s="167"/>
      <c r="E14" s="168"/>
      <c r="F14" s="203"/>
      <c r="G14" s="203"/>
    </row>
    <row r="15" spans="1:17" s="176" customFormat="1" ht="18" x14ac:dyDescent="0.15">
      <c r="A15" s="49">
        <v>2.1</v>
      </c>
      <c r="B15" s="48"/>
      <c r="C15" s="151" t="s">
        <v>36</v>
      </c>
      <c r="D15" s="19" t="s">
        <v>21</v>
      </c>
      <c r="E15" s="20">
        <v>60</v>
      </c>
      <c r="F15" s="202">
        <v>379</v>
      </c>
      <c r="G15" s="202">
        <f>F15*E15</f>
        <v>22740</v>
      </c>
    </row>
    <row r="16" spans="1:17" s="176" customFormat="1" ht="14.25" x14ac:dyDescent="0.15">
      <c r="A16" s="49"/>
      <c r="B16" s="48"/>
      <c r="C16" s="151"/>
      <c r="D16" s="49"/>
      <c r="E16" s="154"/>
      <c r="F16" s="204"/>
      <c r="G16" s="204"/>
    </row>
    <row r="17" spans="1:17" s="176" customFormat="1" ht="27.75" customHeight="1" x14ac:dyDescent="0.15">
      <c r="A17" s="49">
        <v>2.2000000000000002</v>
      </c>
      <c r="B17" s="48"/>
      <c r="C17" s="151" t="s">
        <v>37</v>
      </c>
      <c r="D17" s="19" t="s">
        <v>21</v>
      </c>
      <c r="E17" s="20">
        <v>366</v>
      </c>
      <c r="F17" s="202">
        <v>890</v>
      </c>
      <c r="G17" s="202">
        <f>F17*E17</f>
        <v>325740</v>
      </c>
    </row>
    <row r="18" spans="1:17" s="176" customFormat="1" ht="14.25" x14ac:dyDescent="0.15">
      <c r="A18" s="49"/>
      <c r="B18" s="48"/>
      <c r="C18" s="151"/>
      <c r="D18" s="19"/>
      <c r="E18" s="20"/>
      <c r="F18" s="204"/>
      <c r="G18" s="204"/>
    </row>
    <row r="19" spans="1:17" s="176" customFormat="1" ht="25.5" customHeight="1" x14ac:dyDescent="0.15">
      <c r="A19" s="49">
        <v>2.2999999999999998</v>
      </c>
      <c r="B19" s="178"/>
      <c r="C19" s="151" t="s">
        <v>38</v>
      </c>
      <c r="D19" s="19" t="s">
        <v>21</v>
      </c>
      <c r="E19" s="20">
        <v>20</v>
      </c>
      <c r="F19" s="202">
        <v>2165</v>
      </c>
      <c r="G19" s="202">
        <f>F19*E19</f>
        <v>43300</v>
      </c>
    </row>
    <row r="20" spans="1:17" s="176" customFormat="1" ht="14.25" x14ac:dyDescent="0.15">
      <c r="A20" s="49"/>
      <c r="B20" s="48"/>
      <c r="C20" s="151"/>
      <c r="D20" s="19"/>
      <c r="E20" s="20"/>
      <c r="F20" s="204"/>
      <c r="G20" s="204"/>
    </row>
    <row r="21" spans="1:17" s="176" customFormat="1" ht="27" customHeight="1" x14ac:dyDescent="0.15">
      <c r="A21" s="49">
        <v>2.4</v>
      </c>
      <c r="B21" s="178"/>
      <c r="C21" s="151" t="s">
        <v>39</v>
      </c>
      <c r="D21" s="19" t="s">
        <v>21</v>
      </c>
      <c r="E21" s="20">
        <v>24</v>
      </c>
      <c r="F21" s="202">
        <v>379</v>
      </c>
      <c r="G21" s="202">
        <f>F21*E21</f>
        <v>9096</v>
      </c>
    </row>
    <row r="22" spans="1:17" s="176" customFormat="1" x14ac:dyDescent="0.15">
      <c r="A22" s="49"/>
      <c r="B22" s="48"/>
      <c r="C22" s="151"/>
      <c r="D22" s="19"/>
      <c r="E22" s="20"/>
      <c r="F22" s="201"/>
      <c r="G22" s="201"/>
    </row>
    <row r="23" spans="1:17" s="5" customFormat="1" ht="21.75" customHeight="1" x14ac:dyDescent="0.15">
      <c r="A23" s="49">
        <v>2.5</v>
      </c>
      <c r="B23" s="16"/>
      <c r="C23" s="151" t="s">
        <v>40</v>
      </c>
      <c r="D23" s="19" t="s">
        <v>21</v>
      </c>
      <c r="E23" s="20">
        <v>102</v>
      </c>
      <c r="F23" s="202">
        <v>1315</v>
      </c>
      <c r="G23" s="202">
        <f>F23*E23</f>
        <v>134130</v>
      </c>
    </row>
    <row r="24" spans="1:17" s="5" customFormat="1" x14ac:dyDescent="0.15">
      <c r="A24" s="49"/>
      <c r="B24" s="48"/>
      <c r="C24" s="151"/>
      <c r="D24" s="19"/>
      <c r="E24" s="20"/>
      <c r="F24" s="201"/>
      <c r="G24" s="201"/>
    </row>
    <row r="25" spans="1:17" s="176" customFormat="1" ht="14.25" x14ac:dyDescent="0.15">
      <c r="A25" s="49">
        <v>2.6</v>
      </c>
      <c r="B25" s="48"/>
      <c r="C25" s="151" t="s">
        <v>41</v>
      </c>
      <c r="D25" s="19" t="s">
        <v>21</v>
      </c>
      <c r="E25" s="20">
        <v>400</v>
      </c>
      <c r="F25" s="202">
        <v>764</v>
      </c>
      <c r="G25" s="202">
        <f>F25*E25</f>
        <v>305600</v>
      </c>
    </row>
    <row r="26" spans="1:17" s="176" customFormat="1" ht="14.25" x14ac:dyDescent="0.15">
      <c r="A26" s="49"/>
      <c r="B26" s="48"/>
      <c r="C26" s="151"/>
      <c r="D26" s="19"/>
      <c r="E26" s="20"/>
      <c r="F26" s="203"/>
      <c r="G26" s="203"/>
    </row>
    <row r="27" spans="1:17" s="176" customFormat="1" ht="14.25" x14ac:dyDescent="0.15">
      <c r="A27" s="49">
        <v>2.7</v>
      </c>
      <c r="B27" s="48"/>
      <c r="C27" s="151" t="s">
        <v>42</v>
      </c>
      <c r="D27" s="19" t="s">
        <v>21</v>
      </c>
      <c r="E27" s="20">
        <v>23</v>
      </c>
      <c r="F27" s="202">
        <v>1448</v>
      </c>
      <c r="G27" s="202">
        <f>F27*E27</f>
        <v>33304</v>
      </c>
    </row>
    <row r="28" spans="1:17" s="176" customFormat="1" ht="14.25" x14ac:dyDescent="0.15">
      <c r="A28" s="49"/>
      <c r="B28" s="48"/>
      <c r="C28" s="151"/>
      <c r="D28" s="19"/>
      <c r="E28" s="20"/>
      <c r="F28" s="203"/>
      <c r="G28" s="203"/>
    </row>
    <row r="29" spans="1:17" s="176" customFormat="1" ht="14.25" x14ac:dyDescent="0.15">
      <c r="A29" s="49">
        <v>2.8</v>
      </c>
      <c r="B29" s="48"/>
      <c r="C29" s="151" t="s">
        <v>43</v>
      </c>
      <c r="D29" s="19" t="s">
        <v>21</v>
      </c>
      <c r="E29" s="20">
        <v>99</v>
      </c>
      <c r="F29" s="202">
        <v>1315</v>
      </c>
      <c r="G29" s="202">
        <f>F29*E29</f>
        <v>130185</v>
      </c>
    </row>
    <row r="30" spans="1:17" s="176" customFormat="1" ht="14.25" x14ac:dyDescent="0.15">
      <c r="A30" s="49"/>
      <c r="B30" s="48"/>
      <c r="C30" s="151"/>
      <c r="D30" s="19"/>
      <c r="E30" s="20"/>
      <c r="F30" s="203"/>
      <c r="G30" s="203"/>
    </row>
    <row r="31" spans="1:17" s="176" customFormat="1" ht="27" x14ac:dyDescent="0.15">
      <c r="A31" s="49">
        <v>2.9</v>
      </c>
      <c r="B31" s="48"/>
      <c r="C31" s="151" t="s">
        <v>44</v>
      </c>
      <c r="D31" s="19" t="s">
        <v>21</v>
      </c>
      <c r="E31" s="20">
        <v>33</v>
      </c>
      <c r="F31" s="202">
        <v>1065</v>
      </c>
      <c r="G31" s="202">
        <f>F31*E31</f>
        <v>35145</v>
      </c>
    </row>
    <row r="32" spans="1:17" s="176" customFormat="1" ht="14.25" x14ac:dyDescent="0.15">
      <c r="A32" s="49"/>
      <c r="B32" s="48"/>
      <c r="C32" s="151"/>
      <c r="D32" s="19"/>
      <c r="E32" s="20"/>
      <c r="F32" s="203"/>
      <c r="G32" s="203"/>
    </row>
    <row r="33" spans="1:12" s="176" customFormat="1" ht="27" x14ac:dyDescent="0.15">
      <c r="A33" s="254" t="s">
        <v>265</v>
      </c>
      <c r="B33" s="48"/>
      <c r="C33" s="151" t="s">
        <v>45</v>
      </c>
      <c r="D33" s="19" t="s">
        <v>21</v>
      </c>
      <c r="E33" s="20">
        <v>16</v>
      </c>
      <c r="F33" s="202">
        <v>1128</v>
      </c>
      <c r="G33" s="202">
        <f>F33*E33</f>
        <v>18048</v>
      </c>
    </row>
    <row r="34" spans="1:12" s="176" customFormat="1" ht="14.25" x14ac:dyDescent="0.15">
      <c r="A34" s="49"/>
      <c r="B34" s="48"/>
      <c r="C34" s="151"/>
      <c r="D34" s="19"/>
      <c r="E34" s="20"/>
      <c r="F34" s="203"/>
      <c r="G34" s="203"/>
    </row>
    <row r="35" spans="1:12" s="176" customFormat="1" ht="27" x14ac:dyDescent="0.15">
      <c r="A35" s="49">
        <v>2.11</v>
      </c>
      <c r="B35" s="48"/>
      <c r="C35" s="151" t="s">
        <v>46</v>
      </c>
      <c r="D35" s="19" t="s">
        <v>21</v>
      </c>
      <c r="E35" s="20">
        <v>27</v>
      </c>
      <c r="F35" s="202">
        <v>1128</v>
      </c>
      <c r="G35" s="202">
        <f>F35*E35</f>
        <v>30456</v>
      </c>
    </row>
    <row r="36" spans="1:12" s="176" customFormat="1" ht="14.25" x14ac:dyDescent="0.15">
      <c r="A36" s="49"/>
      <c r="B36" s="48"/>
      <c r="C36" s="151"/>
      <c r="D36" s="19"/>
      <c r="E36" s="20"/>
      <c r="F36" s="203"/>
      <c r="G36" s="203"/>
    </row>
    <row r="37" spans="1:12" s="176" customFormat="1" ht="14.25" x14ac:dyDescent="0.15">
      <c r="A37" s="49"/>
      <c r="B37" s="48"/>
      <c r="C37" s="151"/>
      <c r="D37" s="19"/>
      <c r="E37" s="20"/>
      <c r="F37" s="203"/>
      <c r="G37" s="203"/>
    </row>
    <row r="38" spans="1:12" s="176" customFormat="1" ht="31.15" customHeight="1" x14ac:dyDescent="0.15">
      <c r="A38" s="52">
        <v>2.12</v>
      </c>
      <c r="B38" s="48"/>
      <c r="C38" s="151" t="s">
        <v>47</v>
      </c>
      <c r="D38" s="19" t="s">
        <v>48</v>
      </c>
      <c r="E38" s="20">
        <v>190</v>
      </c>
      <c r="F38" s="202">
        <v>32</v>
      </c>
      <c r="G38" s="202">
        <f>F38*E38</f>
        <v>6080</v>
      </c>
    </row>
    <row r="39" spans="1:12" s="176" customFormat="1" ht="31.15" customHeight="1" x14ac:dyDescent="0.15">
      <c r="A39" s="52"/>
      <c r="B39" s="48"/>
      <c r="C39" s="151"/>
      <c r="D39" s="19"/>
      <c r="E39" s="20"/>
      <c r="F39" s="203"/>
      <c r="G39" s="203"/>
    </row>
    <row r="40" spans="1:12" s="176" customFormat="1" ht="31.15" customHeight="1" x14ac:dyDescent="0.15">
      <c r="A40" s="52">
        <v>2.13</v>
      </c>
      <c r="B40" s="48"/>
      <c r="C40" s="151" t="s">
        <v>49</v>
      </c>
      <c r="D40" s="19" t="s">
        <v>21</v>
      </c>
      <c r="E40" s="20">
        <v>450</v>
      </c>
      <c r="F40" s="202">
        <v>379</v>
      </c>
      <c r="G40" s="202">
        <f>F40*E40</f>
        <v>170550</v>
      </c>
    </row>
    <row r="41" spans="1:12" s="176" customFormat="1" ht="14.25" x14ac:dyDescent="0.15">
      <c r="A41" s="48"/>
      <c r="B41" s="48"/>
      <c r="C41" s="173"/>
      <c r="D41" s="18"/>
      <c r="E41" s="20"/>
      <c r="F41" s="182"/>
      <c r="G41" s="182"/>
    </row>
    <row r="42" spans="1:12" s="176" customFormat="1" ht="15" customHeight="1" x14ac:dyDescent="0.15">
      <c r="A42" s="53" t="s">
        <v>50</v>
      </c>
      <c r="B42" s="54"/>
      <c r="C42" s="148"/>
      <c r="D42" s="56"/>
      <c r="E42" s="56"/>
      <c r="F42" s="208"/>
      <c r="G42" s="209">
        <f>SUM(G15:G40)</f>
        <v>1264374</v>
      </c>
    </row>
  </sheetData>
  <mergeCells count="5">
    <mergeCell ref="C1:E1"/>
    <mergeCell ref="C2:E2"/>
    <mergeCell ref="C3:E3"/>
    <mergeCell ref="C4:E4"/>
    <mergeCell ref="A5:B5"/>
  </mergeCells>
  <printOptions horizontalCentered="1"/>
  <pageMargins left="0.70866141732283505" right="0.70866141732283505" top="0.74803149606299202" bottom="0.74803149606299202" header="0.31496062992126" footer="0.31496062992126"/>
  <pageSetup paperSize="9" scale="71"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view="pageBreakPreview" zoomScaleNormal="100" workbookViewId="0">
      <selection activeCell="H5" sqref="H5"/>
    </sheetView>
  </sheetViews>
  <sheetFormatPr defaultColWidth="9.16796875" defaultRowHeight="15" x14ac:dyDescent="0.2"/>
  <cols>
    <col min="1" max="2" width="5.66015625" style="158" customWidth="1"/>
    <col min="3" max="3" width="58.12109375" style="159" customWidth="1"/>
    <col min="4" max="4" width="6.60546875" style="160" customWidth="1"/>
    <col min="5" max="5" width="8.8984375" style="160" customWidth="1"/>
    <col min="6" max="6" width="20.6328125" style="161" customWidth="1"/>
    <col min="7" max="7" width="19.1484375" style="161" customWidth="1"/>
    <col min="8" max="16384" width="9.16796875" style="29"/>
  </cols>
  <sheetData>
    <row r="1" spans="1:11" x14ac:dyDescent="0.2">
      <c r="A1" s="8" t="s">
        <v>0</v>
      </c>
      <c r="B1" s="8"/>
      <c r="C1" s="265" t="s">
        <v>1</v>
      </c>
      <c r="D1" s="265"/>
      <c r="E1" s="265"/>
      <c r="F1" s="30"/>
      <c r="G1" s="31"/>
    </row>
    <row r="2" spans="1:11" x14ac:dyDescent="0.2">
      <c r="A2" s="8" t="s">
        <v>2</v>
      </c>
      <c r="B2" s="8"/>
      <c r="C2" s="266" t="s">
        <v>3</v>
      </c>
      <c r="D2" s="266"/>
      <c r="E2" s="266"/>
      <c r="F2" s="32"/>
      <c r="G2" s="31"/>
    </row>
    <row r="3" spans="1:11" x14ac:dyDescent="0.2">
      <c r="A3" s="11" t="s">
        <v>4</v>
      </c>
      <c r="B3" s="11"/>
      <c r="C3" s="267"/>
      <c r="D3" s="267"/>
      <c r="E3" s="267"/>
      <c r="F3" s="10"/>
      <c r="G3" s="33"/>
    </row>
    <row r="4" spans="1:11" ht="15.75" thickBot="1" x14ac:dyDescent="0.25">
      <c r="A4" s="11" t="s">
        <v>5</v>
      </c>
      <c r="B4" s="11"/>
      <c r="C4" s="268" t="s">
        <v>51</v>
      </c>
      <c r="D4" s="268"/>
      <c r="E4" s="268"/>
      <c r="F4" s="35"/>
      <c r="G4" s="33"/>
    </row>
    <row r="5" spans="1:11" ht="15.75" thickBot="1" x14ac:dyDescent="0.25">
      <c r="A5" s="263" t="s">
        <v>7</v>
      </c>
      <c r="B5" s="264"/>
      <c r="C5" s="37" t="s">
        <v>8</v>
      </c>
      <c r="D5" s="38" t="s">
        <v>9</v>
      </c>
      <c r="E5" s="39" t="s">
        <v>10</v>
      </c>
      <c r="F5" s="39" t="s">
        <v>11</v>
      </c>
      <c r="G5" s="40" t="s">
        <v>12</v>
      </c>
    </row>
    <row r="6" spans="1:11" x14ac:dyDescent="0.2">
      <c r="A6" s="162"/>
      <c r="B6" s="162"/>
      <c r="C6" s="163"/>
      <c r="D6" s="164"/>
      <c r="E6" s="164"/>
      <c r="F6" s="165"/>
      <c r="G6" s="165"/>
    </row>
    <row r="7" spans="1:11" x14ac:dyDescent="0.2">
      <c r="A7" s="16">
        <v>3</v>
      </c>
      <c r="B7" s="16"/>
      <c r="C7" s="44" t="s">
        <v>52</v>
      </c>
      <c r="D7" s="18"/>
      <c r="E7" s="20"/>
      <c r="F7" s="21"/>
      <c r="G7" s="21"/>
    </row>
    <row r="8" spans="1:11" x14ac:dyDescent="0.2">
      <c r="A8" s="16"/>
      <c r="B8" s="16"/>
      <c r="C8" s="151"/>
      <c r="D8" s="18"/>
      <c r="E8" s="20"/>
      <c r="F8" s="21"/>
      <c r="G8" s="21"/>
    </row>
    <row r="9" spans="1:11" x14ac:dyDescent="0.2">
      <c r="A9" s="16"/>
      <c r="B9" s="16"/>
      <c r="C9" s="151"/>
      <c r="D9" s="18"/>
      <c r="E9" s="20"/>
      <c r="F9" s="21"/>
      <c r="G9" s="21"/>
    </row>
    <row r="10" spans="1:11" ht="78" customHeight="1" x14ac:dyDescent="0.2">
      <c r="A10" s="16"/>
      <c r="B10" s="16"/>
      <c r="C10" s="151" t="s">
        <v>53</v>
      </c>
      <c r="D10" s="18"/>
      <c r="E10" s="20"/>
      <c r="F10" s="21"/>
      <c r="G10" s="21"/>
    </row>
    <row r="11" spans="1:11" x14ac:dyDescent="0.2">
      <c r="A11" s="48"/>
      <c r="B11" s="48"/>
      <c r="C11" s="172"/>
      <c r="D11" s="167"/>
      <c r="E11" s="168"/>
      <c r="F11" s="169"/>
      <c r="G11" s="169"/>
    </row>
    <row r="12" spans="1:11" x14ac:dyDescent="0.2">
      <c r="A12" s="48"/>
      <c r="B12" s="48"/>
      <c r="C12" s="166"/>
      <c r="D12" s="18"/>
      <c r="E12" s="20"/>
      <c r="F12" s="21"/>
      <c r="G12" s="21"/>
    </row>
    <row r="13" spans="1:11" x14ac:dyDescent="0.2">
      <c r="A13" s="48">
        <v>3.1</v>
      </c>
      <c r="B13" s="48"/>
      <c r="C13" s="173" t="s">
        <v>603</v>
      </c>
      <c r="D13" s="49" t="s">
        <v>48</v>
      </c>
      <c r="E13" s="20">
        <v>463</v>
      </c>
      <c r="F13" s="202">
        <v>86</v>
      </c>
      <c r="G13" s="202">
        <f>F13*E13</f>
        <v>39818</v>
      </c>
    </row>
    <row r="14" spans="1:11" x14ac:dyDescent="0.2">
      <c r="A14" s="48"/>
      <c r="B14" s="48"/>
      <c r="C14" s="173"/>
      <c r="D14" s="18"/>
      <c r="E14" s="20"/>
      <c r="F14" s="19"/>
      <c r="G14" s="19"/>
    </row>
    <row r="15" spans="1:11" x14ac:dyDescent="0.2">
      <c r="A15" s="48">
        <v>3.2</v>
      </c>
      <c r="B15" s="48"/>
      <c r="C15" s="173" t="s">
        <v>54</v>
      </c>
      <c r="D15" s="49" t="s">
        <v>48</v>
      </c>
      <c r="E15" s="20">
        <v>200</v>
      </c>
      <c r="F15" s="202">
        <v>86</v>
      </c>
      <c r="G15" s="202">
        <f>F15*E15</f>
        <v>17200</v>
      </c>
    </row>
    <row r="16" spans="1:11" x14ac:dyDescent="0.2">
      <c r="A16" s="48"/>
      <c r="B16" s="48"/>
      <c r="C16" s="173" t="s">
        <v>55</v>
      </c>
      <c r="D16" s="18"/>
      <c r="E16" s="20"/>
      <c r="F16" s="182"/>
      <c r="G16" s="182"/>
    </row>
    <row r="17" spans="1:11" x14ac:dyDescent="0.2">
      <c r="A17" s="48"/>
      <c r="B17" s="48"/>
      <c r="C17" s="173"/>
      <c r="D17" s="18"/>
      <c r="E17" s="20"/>
      <c r="F17" s="182"/>
      <c r="G17" s="182"/>
    </row>
    <row r="18" spans="1:11" x14ac:dyDescent="0.2">
      <c r="A18" s="48">
        <v>3.3</v>
      </c>
      <c r="B18" s="48"/>
      <c r="C18" s="173" t="s">
        <v>56</v>
      </c>
      <c r="D18" s="49" t="s">
        <v>48</v>
      </c>
      <c r="E18" s="20">
        <v>1516</v>
      </c>
      <c r="F18" s="202">
        <v>187</v>
      </c>
      <c r="G18" s="202">
        <f>F18*E18</f>
        <v>283492</v>
      </c>
    </row>
    <row r="19" spans="1:11" x14ac:dyDescent="0.2">
      <c r="A19" s="48"/>
      <c r="B19" s="48"/>
      <c r="C19" s="173" t="s">
        <v>57</v>
      </c>
      <c r="D19" s="49"/>
      <c r="E19" s="20"/>
      <c r="F19" s="170"/>
      <c r="G19" s="170"/>
    </row>
    <row r="20" spans="1:11" x14ac:dyDescent="0.2">
      <c r="A20" s="48"/>
      <c r="B20" s="48"/>
      <c r="C20" s="173"/>
      <c r="D20" s="49"/>
      <c r="E20" s="20"/>
      <c r="F20" s="170"/>
      <c r="G20" s="170"/>
    </row>
    <row r="21" spans="1:11" x14ac:dyDescent="0.2">
      <c r="A21" s="48"/>
      <c r="B21" s="48"/>
      <c r="D21" s="167"/>
      <c r="E21" s="168"/>
      <c r="F21" s="167"/>
      <c r="G21" s="167"/>
    </row>
    <row r="22" spans="1:11" x14ac:dyDescent="0.2">
      <c r="A22" s="48"/>
      <c r="B22" s="48"/>
      <c r="C22" s="173"/>
      <c r="D22" s="18"/>
      <c r="E22" s="20"/>
      <c r="F22" s="19"/>
      <c r="G22" s="19"/>
    </row>
    <row r="23" spans="1:11" x14ac:dyDescent="0.2">
      <c r="A23" s="48"/>
      <c r="B23" s="48"/>
      <c r="C23" s="172"/>
      <c r="D23" s="167"/>
      <c r="E23" s="168"/>
      <c r="F23" s="167"/>
      <c r="G23" s="167"/>
    </row>
    <row r="24" spans="1:11" ht="15.75" thickBot="1" x14ac:dyDescent="0.25">
      <c r="A24" s="48"/>
      <c r="B24" s="48"/>
      <c r="C24" s="166"/>
      <c r="D24" s="49"/>
      <c r="E24" s="154"/>
      <c r="F24" s="49"/>
      <c r="G24" s="49"/>
    </row>
    <row r="25" spans="1:11" ht="15" customHeight="1" thickBot="1" x14ac:dyDescent="0.25">
      <c r="A25" s="53" t="s">
        <v>58</v>
      </c>
      <c r="B25" s="54"/>
      <c r="C25" s="148"/>
      <c r="D25" s="56"/>
      <c r="E25" s="56"/>
      <c r="F25" s="58"/>
      <c r="G25" s="59">
        <f>SUM(G13:G18)</f>
        <v>340510</v>
      </c>
    </row>
    <row r="26" spans="1:11" x14ac:dyDescent="0.2">
      <c r="A26" s="161"/>
      <c r="B26" s="161"/>
      <c r="C26" s="161"/>
      <c r="D26" s="161"/>
      <c r="E26" s="161"/>
    </row>
    <row r="27" spans="1:11" x14ac:dyDescent="0.2">
      <c r="A27" s="161"/>
      <c r="B27" s="161"/>
      <c r="C27" s="161"/>
      <c r="D27" s="161"/>
      <c r="E27" s="161"/>
    </row>
    <row r="28" spans="1:11" x14ac:dyDescent="0.2">
      <c r="A28" s="161"/>
      <c r="B28" s="161"/>
      <c r="C28" s="161"/>
      <c r="D28" s="161"/>
      <c r="E28" s="161"/>
    </row>
    <row r="29" spans="1:11" x14ac:dyDescent="0.2">
      <c r="A29" s="161"/>
      <c r="B29" s="161"/>
      <c r="C29" s="161"/>
      <c r="D29" s="161"/>
      <c r="E29" s="161"/>
    </row>
    <row r="30" spans="1:11" x14ac:dyDescent="0.2">
      <c r="A30" s="161"/>
      <c r="B30" s="161"/>
      <c r="C30" s="161"/>
      <c r="D30" s="161"/>
      <c r="E30" s="161"/>
    </row>
    <row r="31" spans="1:11" x14ac:dyDescent="0.2">
      <c r="A31" s="161"/>
      <c r="B31" s="161"/>
      <c r="C31" s="161"/>
      <c r="D31" s="161"/>
      <c r="E31" s="161"/>
    </row>
    <row r="32" spans="1:11" x14ac:dyDescent="0.2">
      <c r="A32" s="161"/>
      <c r="B32" s="161"/>
      <c r="C32" s="161"/>
      <c r="D32" s="161"/>
      <c r="E32" s="161"/>
    </row>
    <row r="33" spans="1:5" x14ac:dyDescent="0.2">
      <c r="A33" s="161"/>
      <c r="B33" s="161"/>
      <c r="C33" s="161"/>
      <c r="D33" s="161"/>
      <c r="E33" s="161"/>
    </row>
    <row r="34" spans="1:5" x14ac:dyDescent="0.2">
      <c r="A34" s="161"/>
      <c r="B34" s="161"/>
      <c r="C34" s="161"/>
      <c r="D34" s="161"/>
      <c r="E34" s="161"/>
    </row>
  </sheetData>
  <mergeCells count="5">
    <mergeCell ref="C1:E1"/>
    <mergeCell ref="C2:E2"/>
    <mergeCell ref="C3:E3"/>
    <mergeCell ref="C4:E4"/>
    <mergeCell ref="A5:B5"/>
  </mergeCells>
  <pageMargins left="0.7" right="0.7" top="0.75" bottom="0.75" header="0.3" footer="0.3"/>
  <pageSetup scale="43"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
  <sheetViews>
    <sheetView view="pageBreakPreview" topLeftCell="A29" zoomScale="70" zoomScaleNormal="70" zoomScaleSheetLayoutView="70" workbookViewId="0">
      <selection activeCell="G30" sqref="G30"/>
    </sheetView>
  </sheetViews>
  <sheetFormatPr defaultColWidth="9.16796875" defaultRowHeight="15" x14ac:dyDescent="0.2"/>
  <cols>
    <col min="1" max="1" width="6.60546875" style="158" customWidth="1"/>
    <col min="2" max="2" width="5.66015625" style="158" customWidth="1"/>
    <col min="3" max="3" width="58.12109375" style="159" customWidth="1"/>
    <col min="4" max="4" width="8.08984375" style="160" customWidth="1"/>
    <col min="5" max="5" width="7.953125" style="160" customWidth="1"/>
    <col min="6" max="6" width="20.6328125" style="210" customWidth="1"/>
    <col min="7" max="7" width="19.1484375" style="210" customWidth="1"/>
    <col min="8" max="16384" width="9.16796875" style="29"/>
  </cols>
  <sheetData>
    <row r="1" spans="1:11" x14ac:dyDescent="0.2">
      <c r="A1" s="8" t="s">
        <v>0</v>
      </c>
      <c r="B1" s="8"/>
      <c r="C1" s="265" t="s">
        <v>1</v>
      </c>
      <c r="D1" s="265"/>
      <c r="E1" s="265"/>
      <c r="F1" s="190"/>
      <c r="G1" s="191"/>
    </row>
    <row r="2" spans="1:11" x14ac:dyDescent="0.2">
      <c r="A2" s="8" t="s">
        <v>2</v>
      </c>
      <c r="B2" s="8"/>
      <c r="C2" s="266" t="s">
        <v>3</v>
      </c>
      <c r="D2" s="266"/>
      <c r="E2" s="266"/>
      <c r="F2" s="193"/>
      <c r="G2" s="191"/>
    </row>
    <row r="3" spans="1:11" x14ac:dyDescent="0.2">
      <c r="A3" s="11" t="s">
        <v>4</v>
      </c>
      <c r="B3" s="11"/>
      <c r="C3" s="267"/>
      <c r="D3" s="267"/>
      <c r="E3" s="267"/>
      <c r="F3" s="194"/>
      <c r="G3" s="195"/>
    </row>
    <row r="4" spans="1:11" x14ac:dyDescent="0.2">
      <c r="A4" s="11" t="s">
        <v>5</v>
      </c>
      <c r="B4" s="11"/>
      <c r="C4" s="268" t="s">
        <v>59</v>
      </c>
      <c r="D4" s="268"/>
      <c r="E4" s="268"/>
      <c r="F4" s="196"/>
      <c r="G4" s="195"/>
    </row>
    <row r="5" spans="1:11" ht="19.5" customHeight="1" x14ac:dyDescent="0.2">
      <c r="A5" s="263" t="s">
        <v>7</v>
      </c>
      <c r="B5" s="264"/>
      <c r="C5" s="37" t="s">
        <v>8</v>
      </c>
      <c r="D5" s="38" t="s">
        <v>9</v>
      </c>
      <c r="E5" s="39" t="s">
        <v>10</v>
      </c>
      <c r="F5" s="197" t="s">
        <v>11</v>
      </c>
      <c r="G5" s="198" t="s">
        <v>12</v>
      </c>
    </row>
    <row r="6" spans="1:11" x14ac:dyDescent="0.2">
      <c r="A6" s="162"/>
      <c r="B6" s="162"/>
      <c r="C6" s="163"/>
      <c r="D6" s="164"/>
      <c r="E6" s="164"/>
      <c r="F6" s="200"/>
      <c r="G6" s="200"/>
    </row>
    <row r="7" spans="1:11" x14ac:dyDescent="0.2">
      <c r="A7" s="16">
        <v>4</v>
      </c>
      <c r="B7" s="16"/>
      <c r="C7" s="44" t="s">
        <v>60</v>
      </c>
      <c r="D7" s="18"/>
      <c r="E7" s="20"/>
      <c r="F7" s="187"/>
      <c r="G7" s="187"/>
    </row>
    <row r="8" spans="1:11" x14ac:dyDescent="0.2">
      <c r="A8" s="16"/>
      <c r="B8" s="16"/>
      <c r="C8" s="151"/>
      <c r="D8" s="18"/>
      <c r="E8" s="20"/>
      <c r="F8" s="187"/>
      <c r="G8" s="187"/>
    </row>
    <row r="9" spans="1:11" ht="75.75" customHeight="1" x14ac:dyDescent="0.2">
      <c r="A9" s="16"/>
      <c r="B9" s="16"/>
      <c r="C9" s="151" t="s">
        <v>61</v>
      </c>
      <c r="D9" s="18"/>
      <c r="E9" s="20"/>
      <c r="F9" s="187"/>
      <c r="G9" s="187"/>
    </row>
    <row r="10" spans="1:11" x14ac:dyDescent="0.2">
      <c r="A10" s="16"/>
      <c r="B10" s="16"/>
      <c r="C10" s="151"/>
      <c r="D10" s="18"/>
      <c r="E10" s="20"/>
      <c r="F10" s="187"/>
      <c r="G10" s="187"/>
    </row>
    <row r="11" spans="1:11" x14ac:dyDescent="0.2">
      <c r="A11" s="48">
        <v>4.0999999999999996</v>
      </c>
      <c r="B11" s="48"/>
      <c r="C11" s="166" t="s">
        <v>62</v>
      </c>
      <c r="D11" s="167"/>
      <c r="E11" s="168"/>
      <c r="F11" s="201"/>
      <c r="G11" s="201"/>
    </row>
    <row r="12" spans="1:11" x14ac:dyDescent="0.2">
      <c r="A12" s="48"/>
      <c r="B12" s="48"/>
      <c r="C12" s="166"/>
      <c r="D12" s="167"/>
      <c r="E12" s="168"/>
      <c r="F12" s="201"/>
      <c r="G12" s="201"/>
    </row>
    <row r="13" spans="1:11" ht="120.75" x14ac:dyDescent="0.2">
      <c r="A13" s="48" t="s">
        <v>63</v>
      </c>
      <c r="B13" s="48"/>
      <c r="C13" s="166" t="s">
        <v>64</v>
      </c>
      <c r="D13" s="19" t="s">
        <v>65</v>
      </c>
      <c r="E13" s="20">
        <v>16</v>
      </c>
      <c r="F13" s="202">
        <v>188</v>
      </c>
      <c r="G13" s="202">
        <f>F13*E13</f>
        <v>3008</v>
      </c>
    </row>
    <row r="14" spans="1:11" ht="50.1" customHeight="1" x14ac:dyDescent="0.2">
      <c r="A14" s="48" t="s">
        <v>66</v>
      </c>
      <c r="B14" s="48"/>
      <c r="C14" s="166" t="s">
        <v>67</v>
      </c>
      <c r="D14" s="19" t="s">
        <v>65</v>
      </c>
      <c r="E14" s="20">
        <v>12</v>
      </c>
      <c r="F14" s="202">
        <v>32</v>
      </c>
      <c r="G14" s="202">
        <f>F14*E14</f>
        <v>384</v>
      </c>
    </row>
    <row r="15" spans="1:11" ht="94.5" x14ac:dyDescent="0.2">
      <c r="A15" s="48" t="s">
        <v>68</v>
      </c>
      <c r="B15" s="16"/>
      <c r="C15" s="181" t="s">
        <v>587</v>
      </c>
      <c r="D15" s="19" t="s">
        <v>65</v>
      </c>
      <c r="E15" s="20">
        <v>324</v>
      </c>
      <c r="F15" s="202">
        <v>165</v>
      </c>
      <c r="G15" s="202">
        <f>F15*E15</f>
        <v>53460</v>
      </c>
    </row>
    <row r="16" spans="1:11" ht="94.5" x14ac:dyDescent="0.2">
      <c r="A16" s="48" t="s">
        <v>69</v>
      </c>
      <c r="B16" s="16"/>
      <c r="C16" s="181" t="s">
        <v>588</v>
      </c>
      <c r="D16" s="19" t="s">
        <v>65</v>
      </c>
      <c r="E16" s="20">
        <v>1001</v>
      </c>
      <c r="F16" s="202">
        <v>165</v>
      </c>
      <c r="G16" s="202">
        <f>F16*E16</f>
        <v>165165</v>
      </c>
    </row>
    <row r="17" spans="1:13" ht="50.1" customHeight="1" x14ac:dyDescent="0.2">
      <c r="A17" s="48" t="s">
        <v>70</v>
      </c>
      <c r="B17" s="48"/>
      <c r="C17" s="151" t="s">
        <v>71</v>
      </c>
      <c r="D17" s="19" t="s">
        <v>72</v>
      </c>
      <c r="E17" s="20">
        <v>250</v>
      </c>
      <c r="F17" s="202">
        <v>82</v>
      </c>
      <c r="G17" s="202">
        <f>F17*E17</f>
        <v>20500</v>
      </c>
    </row>
    <row r="18" spans="1:13" ht="68.25" x14ac:dyDescent="0.2">
      <c r="A18" s="48" t="s">
        <v>73</v>
      </c>
      <c r="B18" s="48"/>
      <c r="C18" s="151" t="s">
        <v>74</v>
      </c>
      <c r="D18" s="19" t="s">
        <v>65</v>
      </c>
      <c r="E18" s="20">
        <v>667</v>
      </c>
      <c r="F18" s="202">
        <v>106</v>
      </c>
      <c r="G18" s="202">
        <f>F18*E18</f>
        <v>70702</v>
      </c>
    </row>
    <row r="19" spans="1:13" ht="68.25" x14ac:dyDescent="0.2">
      <c r="A19" s="48" t="s">
        <v>75</v>
      </c>
      <c r="B19" s="48"/>
      <c r="C19" s="151" t="s">
        <v>76</v>
      </c>
      <c r="D19" s="19" t="s">
        <v>65</v>
      </c>
      <c r="E19" s="20">
        <v>45</v>
      </c>
      <c r="F19" s="202">
        <v>117</v>
      </c>
      <c r="G19" s="202">
        <f>F19*E19</f>
        <v>5265</v>
      </c>
    </row>
    <row r="20" spans="1:13" ht="108" x14ac:dyDescent="0.2">
      <c r="A20" s="48" t="s">
        <v>77</v>
      </c>
      <c r="B20" s="48"/>
      <c r="C20" s="181" t="s">
        <v>586</v>
      </c>
      <c r="D20" s="182" t="s">
        <v>109</v>
      </c>
      <c r="E20" s="20">
        <v>42</v>
      </c>
      <c r="F20" s="202">
        <v>225</v>
      </c>
      <c r="G20" s="202">
        <f>F20*E20</f>
        <v>9450</v>
      </c>
    </row>
    <row r="21" spans="1:13" ht="50.1" customHeight="1" x14ac:dyDescent="0.2">
      <c r="A21" s="48" t="s">
        <v>79</v>
      </c>
      <c r="B21" s="48"/>
      <c r="C21" s="151" t="s">
        <v>78</v>
      </c>
      <c r="D21" s="19" t="s">
        <v>65</v>
      </c>
      <c r="E21" s="20">
        <v>37</v>
      </c>
      <c r="F21" s="202">
        <v>167</v>
      </c>
      <c r="G21" s="202">
        <f>F21*E21</f>
        <v>6179</v>
      </c>
    </row>
    <row r="22" spans="1:13" ht="50.1" customHeight="1" x14ac:dyDescent="0.2">
      <c r="A22" s="48" t="s">
        <v>585</v>
      </c>
      <c r="B22" s="48"/>
      <c r="C22" s="151" t="s">
        <v>80</v>
      </c>
      <c r="D22" s="19" t="s">
        <v>72</v>
      </c>
      <c r="E22" s="20">
        <v>44</v>
      </c>
      <c r="F22" s="202">
        <v>167</v>
      </c>
      <c r="G22" s="202">
        <f>F22*E22</f>
        <v>7348</v>
      </c>
    </row>
    <row r="23" spans="1:13" x14ac:dyDescent="0.2">
      <c r="A23" s="48">
        <v>4.2</v>
      </c>
      <c r="B23" s="48"/>
      <c r="C23" s="185" t="s">
        <v>592</v>
      </c>
      <c r="D23" s="19"/>
      <c r="E23" s="20"/>
      <c r="F23" s="202"/>
      <c r="G23" s="202"/>
    </row>
    <row r="24" spans="1:13" ht="123" x14ac:dyDescent="0.2">
      <c r="A24" s="48" t="s">
        <v>81</v>
      </c>
      <c r="B24" s="48"/>
      <c r="C24" s="151" t="s">
        <v>82</v>
      </c>
      <c r="D24" s="19" t="s">
        <v>65</v>
      </c>
      <c r="E24" s="20">
        <v>1739</v>
      </c>
      <c r="F24" s="202">
        <v>38</v>
      </c>
      <c r="G24" s="202">
        <f>F24*E24</f>
        <v>66082</v>
      </c>
    </row>
    <row r="25" spans="1:13" ht="216" x14ac:dyDescent="0.2">
      <c r="A25" s="242" t="s">
        <v>83</v>
      </c>
      <c r="B25" s="243"/>
      <c r="C25" s="244" t="s">
        <v>590</v>
      </c>
      <c r="D25" s="245" t="s">
        <v>65</v>
      </c>
      <c r="E25" s="241">
        <f>375</f>
        <v>375</v>
      </c>
      <c r="F25" s="246">
        <v>813</v>
      </c>
      <c r="G25" s="246">
        <f>F25*E25</f>
        <v>304875</v>
      </c>
    </row>
    <row r="26" spans="1:13" ht="309.75" x14ac:dyDescent="0.2">
      <c r="A26" s="184" t="s">
        <v>85</v>
      </c>
      <c r="B26" s="48"/>
      <c r="C26" s="151" t="s">
        <v>84</v>
      </c>
      <c r="D26" s="19" t="s">
        <v>65</v>
      </c>
      <c r="E26" s="20">
        <v>2408</v>
      </c>
      <c r="F26" s="202">
        <v>44</v>
      </c>
      <c r="G26" s="202">
        <f>F26*E26</f>
        <v>105952</v>
      </c>
    </row>
    <row r="27" spans="1:13" ht="309.75" x14ac:dyDescent="0.2">
      <c r="A27" s="184" t="s">
        <v>591</v>
      </c>
      <c r="B27" s="48"/>
      <c r="C27" s="151" t="s">
        <v>86</v>
      </c>
      <c r="D27" s="19" t="s">
        <v>65</v>
      </c>
      <c r="E27" s="20">
        <v>213</v>
      </c>
      <c r="F27" s="202">
        <v>38</v>
      </c>
      <c r="G27" s="202">
        <f>F27*E27</f>
        <v>8094</v>
      </c>
    </row>
    <row r="28" spans="1:13" ht="405.75" customHeight="1" x14ac:dyDescent="0.2">
      <c r="A28" s="255" t="s">
        <v>621</v>
      </c>
      <c r="B28" s="184"/>
      <c r="C28" s="181" t="s">
        <v>599</v>
      </c>
      <c r="D28" s="182" t="s">
        <v>65</v>
      </c>
      <c r="E28" s="186">
        <v>57</v>
      </c>
      <c r="F28" s="202">
        <v>38</v>
      </c>
      <c r="G28" s="202">
        <f>F28*E28</f>
        <v>2166</v>
      </c>
    </row>
    <row r="29" spans="1:13" x14ac:dyDescent="0.2">
      <c r="A29" s="48">
        <v>4.3</v>
      </c>
      <c r="B29" s="48"/>
      <c r="C29" s="171" t="s">
        <v>87</v>
      </c>
      <c r="D29" s="19"/>
      <c r="E29" s="20"/>
      <c r="F29" s="202"/>
      <c r="G29" s="202"/>
    </row>
    <row r="30" spans="1:13" ht="203.25" x14ac:dyDescent="0.2">
      <c r="A30" s="48" t="s">
        <v>582</v>
      </c>
      <c r="B30" s="48"/>
      <c r="C30" s="181" t="s">
        <v>589</v>
      </c>
      <c r="D30" s="19" t="s">
        <v>65</v>
      </c>
      <c r="E30" s="20">
        <v>420</v>
      </c>
      <c r="F30" s="202">
        <v>290</v>
      </c>
      <c r="G30" s="202">
        <f>F30*E30</f>
        <v>121800</v>
      </c>
    </row>
    <row r="31" spans="1:13" ht="343.5" customHeight="1" x14ac:dyDescent="0.2">
      <c r="A31" s="48" t="s">
        <v>600</v>
      </c>
      <c r="B31" s="48"/>
      <c r="C31" s="181" t="s">
        <v>583</v>
      </c>
      <c r="D31" s="182" t="s">
        <v>94</v>
      </c>
      <c r="E31" s="20">
        <v>1</v>
      </c>
      <c r="F31" s="202">
        <v>18750</v>
      </c>
      <c r="G31" s="202">
        <f>F31*E31</f>
        <v>18750</v>
      </c>
    </row>
    <row r="32" spans="1:13" x14ac:dyDescent="0.2">
      <c r="A32" s="48"/>
      <c r="B32" s="48"/>
      <c r="C32" s="166"/>
      <c r="D32" s="18"/>
      <c r="E32" s="20"/>
      <c r="F32" s="187"/>
      <c r="G32" s="187"/>
    </row>
    <row r="33" spans="1:7" ht="15" customHeight="1" x14ac:dyDescent="0.2">
      <c r="A33" s="53" t="s">
        <v>88</v>
      </c>
      <c r="B33" s="54"/>
      <c r="C33" s="148"/>
      <c r="D33" s="56"/>
      <c r="E33" s="56"/>
      <c r="F33" s="208"/>
      <c r="G33" s="209">
        <f>SUM(G13:G32)</f>
        <v>969180</v>
      </c>
    </row>
  </sheetData>
  <mergeCells count="5">
    <mergeCell ref="C1:E1"/>
    <mergeCell ref="C2:E2"/>
    <mergeCell ref="C3:E3"/>
    <mergeCell ref="C4:E4"/>
    <mergeCell ref="A5:B5"/>
  </mergeCells>
  <pageMargins left="0.7" right="0.7" top="0.75" bottom="0.75" header="0.3" footer="0.3"/>
  <pageSetup paperSize="8" scale="32"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
  <sheetViews>
    <sheetView view="pageBreakPreview" topLeftCell="A24" zoomScale="85" zoomScaleNormal="55" workbookViewId="0">
      <selection activeCell="H5" sqref="H5"/>
    </sheetView>
  </sheetViews>
  <sheetFormatPr defaultColWidth="9.16796875" defaultRowHeight="15" x14ac:dyDescent="0.2"/>
  <cols>
    <col min="1" max="2" width="9.16796875" style="29"/>
    <col min="3" max="3" width="47.73828125" style="29" customWidth="1"/>
    <col min="4" max="5" width="8.76171875" style="29" customWidth="1"/>
    <col min="6" max="6" width="13.6171875" style="213" customWidth="1"/>
    <col min="7" max="7" width="12.13671875" style="213" customWidth="1"/>
    <col min="8" max="17" width="9.16796875" style="213"/>
    <col min="18" max="16384" width="9.16796875" style="29"/>
  </cols>
  <sheetData>
    <row r="1" spans="1:8" ht="15" customHeight="1" x14ac:dyDescent="0.2">
      <c r="A1" s="8" t="s">
        <v>0</v>
      </c>
      <c r="B1" s="8"/>
      <c r="C1" s="265" t="s">
        <v>1</v>
      </c>
      <c r="D1" s="265"/>
      <c r="E1" s="265"/>
      <c r="F1" s="190"/>
      <c r="G1" s="191"/>
    </row>
    <row r="2" spans="1:8" ht="15" customHeight="1" x14ac:dyDescent="0.2">
      <c r="A2" s="8" t="s">
        <v>2</v>
      </c>
      <c r="B2" s="8"/>
      <c r="C2" s="266" t="s">
        <v>3</v>
      </c>
      <c r="D2" s="266"/>
      <c r="E2" s="266"/>
      <c r="F2" s="193"/>
      <c r="G2" s="191"/>
    </row>
    <row r="3" spans="1:8" x14ac:dyDescent="0.2">
      <c r="A3" s="11" t="s">
        <v>4</v>
      </c>
      <c r="B3" s="11"/>
      <c r="C3" s="267"/>
      <c r="D3" s="267"/>
      <c r="E3" s="267"/>
      <c r="F3" s="194"/>
      <c r="G3" s="195"/>
    </row>
    <row r="4" spans="1:8" ht="15.75" customHeight="1" x14ac:dyDescent="0.2">
      <c r="A4" s="11" t="s">
        <v>5</v>
      </c>
      <c r="B4" s="11"/>
      <c r="C4" s="268" t="s">
        <v>89</v>
      </c>
      <c r="D4" s="268"/>
      <c r="E4" s="268"/>
      <c r="F4" s="196"/>
      <c r="G4" s="195"/>
    </row>
    <row r="5" spans="1:8" x14ac:dyDescent="0.2">
      <c r="A5" s="263" t="s">
        <v>7</v>
      </c>
      <c r="B5" s="264"/>
      <c r="C5" s="37" t="s">
        <v>8</v>
      </c>
      <c r="D5" s="38" t="s">
        <v>9</v>
      </c>
      <c r="E5" s="39" t="s">
        <v>10</v>
      </c>
      <c r="F5" s="197" t="s">
        <v>11</v>
      </c>
      <c r="G5" s="198" t="s">
        <v>12</v>
      </c>
    </row>
    <row r="6" spans="1:8" x14ac:dyDescent="0.2">
      <c r="A6" s="41"/>
      <c r="B6" s="41"/>
      <c r="C6" s="42"/>
      <c r="D6" s="43"/>
      <c r="E6" s="43"/>
      <c r="F6" s="214"/>
      <c r="G6" s="215"/>
    </row>
    <row r="7" spans="1:8" ht="16.899999999999999" customHeight="1" x14ac:dyDescent="0.2">
      <c r="A7" s="16">
        <v>5</v>
      </c>
      <c r="B7" s="16"/>
      <c r="C7" s="150" t="s">
        <v>90</v>
      </c>
      <c r="D7" s="18"/>
      <c r="E7" s="19"/>
      <c r="F7" s="182"/>
      <c r="G7" s="187"/>
    </row>
    <row r="8" spans="1:8" ht="191.25" customHeight="1" x14ac:dyDescent="0.2">
      <c r="A8" s="18"/>
      <c r="B8" s="18"/>
      <c r="C8" s="151" t="s">
        <v>91</v>
      </c>
      <c r="D8" s="19"/>
      <c r="E8" s="19"/>
      <c r="F8" s="182"/>
      <c r="G8" s="187"/>
    </row>
    <row r="9" spans="1:8" x14ac:dyDescent="0.2">
      <c r="A9" s="152"/>
      <c r="B9" s="152"/>
      <c r="C9" s="153"/>
      <c r="D9" s="49"/>
      <c r="E9" s="154"/>
      <c r="F9" s="204"/>
      <c r="G9" s="216"/>
    </row>
    <row r="10" spans="1:8" ht="78.75" customHeight="1" x14ac:dyDescent="0.2">
      <c r="A10" s="152"/>
      <c r="B10" s="152"/>
      <c r="C10" s="151" t="s">
        <v>92</v>
      </c>
      <c r="D10" s="49"/>
      <c r="E10" s="154"/>
      <c r="F10" s="204"/>
      <c r="G10" s="216"/>
    </row>
    <row r="11" spans="1:8" x14ac:dyDescent="0.2">
      <c r="A11" s="152"/>
      <c r="B11" s="152"/>
      <c r="C11" s="153"/>
      <c r="D11" s="49"/>
      <c r="E11" s="154"/>
      <c r="F11" s="204"/>
      <c r="G11" s="216"/>
    </row>
    <row r="12" spans="1:8" ht="22.5" customHeight="1" x14ac:dyDescent="0.2">
      <c r="A12" s="269">
        <v>5.0999999999999996</v>
      </c>
      <c r="B12" s="155"/>
      <c r="C12" s="151" t="s">
        <v>93</v>
      </c>
      <c r="D12" s="272" t="s">
        <v>94</v>
      </c>
      <c r="E12" s="275">
        <v>1</v>
      </c>
      <c r="F12" s="202"/>
      <c r="G12" s="202"/>
    </row>
    <row r="13" spans="1:8" x14ac:dyDescent="0.2">
      <c r="A13" s="270"/>
      <c r="B13" s="152"/>
      <c r="C13" s="153"/>
      <c r="D13" s="273"/>
      <c r="E13" s="276"/>
      <c r="F13" s="202"/>
      <c r="G13" s="202"/>
    </row>
    <row r="14" spans="1:8" ht="21.75" customHeight="1" x14ac:dyDescent="0.2">
      <c r="A14" s="270"/>
      <c r="B14" s="155"/>
      <c r="C14" s="151" t="s">
        <v>95</v>
      </c>
      <c r="D14" s="273"/>
      <c r="E14" s="276"/>
      <c r="F14" s="202"/>
      <c r="G14" s="202"/>
    </row>
    <row r="15" spans="1:8" x14ac:dyDescent="0.2">
      <c r="A15" s="270"/>
      <c r="B15" s="155"/>
      <c r="C15" s="151"/>
      <c r="D15" s="273"/>
      <c r="E15" s="276"/>
      <c r="F15" s="202">
        <v>44500</v>
      </c>
      <c r="G15" s="202">
        <f>F15*E12</f>
        <v>44500</v>
      </c>
    </row>
    <row r="16" spans="1:8" x14ac:dyDescent="0.2">
      <c r="A16" s="270"/>
      <c r="B16" s="155"/>
      <c r="C16" s="151" t="s">
        <v>96</v>
      </c>
      <c r="D16" s="273"/>
      <c r="E16" s="276"/>
      <c r="F16" s="202"/>
      <c r="G16" s="202"/>
    </row>
    <row r="17" spans="1:15" x14ac:dyDescent="0.2">
      <c r="A17" s="270"/>
      <c r="B17" s="155"/>
      <c r="C17" s="151"/>
      <c r="D17" s="273"/>
      <c r="E17" s="276"/>
      <c r="F17" s="202"/>
      <c r="G17" s="202"/>
    </row>
    <row r="18" spans="1:15" x14ac:dyDescent="0.2">
      <c r="A18" s="270"/>
      <c r="B18" s="155"/>
      <c r="C18" s="151" t="s">
        <v>97</v>
      </c>
      <c r="D18" s="273"/>
      <c r="E18" s="276"/>
      <c r="F18" s="202"/>
      <c r="G18" s="202"/>
    </row>
    <row r="19" spans="1:15" x14ac:dyDescent="0.2">
      <c r="A19" s="270"/>
      <c r="B19" s="155"/>
      <c r="C19" s="151"/>
      <c r="D19" s="273"/>
      <c r="E19" s="276"/>
      <c r="F19" s="202"/>
      <c r="G19" s="202"/>
    </row>
    <row r="20" spans="1:15" x14ac:dyDescent="0.2">
      <c r="A20" s="271"/>
      <c r="B20" s="155"/>
      <c r="C20" s="151" t="s">
        <v>98</v>
      </c>
      <c r="D20" s="274"/>
      <c r="E20" s="277"/>
      <c r="F20" s="202"/>
      <c r="G20" s="202"/>
    </row>
    <row r="21" spans="1:15" x14ac:dyDescent="0.2">
      <c r="A21" s="155"/>
      <c r="B21" s="155"/>
      <c r="C21" s="151"/>
      <c r="D21" s="49"/>
      <c r="E21" s="49"/>
      <c r="F21" s="204"/>
      <c r="G21" s="206"/>
    </row>
    <row r="22" spans="1:15" ht="159" x14ac:dyDescent="0.2">
      <c r="A22" s="155">
        <v>5.2</v>
      </c>
      <c r="B22" s="155"/>
      <c r="C22" s="156" t="s">
        <v>99</v>
      </c>
      <c r="D22" s="49" t="s">
        <v>94</v>
      </c>
      <c r="E22" s="49">
        <v>1</v>
      </c>
      <c r="F22" s="202">
        <v>20244</v>
      </c>
      <c r="G22" s="202">
        <f>F22*E22</f>
        <v>20244</v>
      </c>
    </row>
    <row r="23" spans="1:15" x14ac:dyDescent="0.2">
      <c r="A23" s="155"/>
      <c r="B23" s="155"/>
      <c r="C23" s="151"/>
      <c r="D23" s="49"/>
      <c r="E23" s="49"/>
      <c r="F23" s="204"/>
      <c r="G23" s="206"/>
    </row>
    <row r="24" spans="1:15" ht="409.6" x14ac:dyDescent="0.2">
      <c r="A24" s="155">
        <v>5.3</v>
      </c>
      <c r="B24" s="155"/>
      <c r="C24" s="151" t="s">
        <v>100</v>
      </c>
      <c r="D24" s="49" t="s">
        <v>94</v>
      </c>
      <c r="E24" s="49">
        <v>1</v>
      </c>
      <c r="F24" s="202">
        <v>66713</v>
      </c>
      <c r="G24" s="202">
        <f>F24*E24</f>
        <v>66713</v>
      </c>
    </row>
    <row r="25" spans="1:15" x14ac:dyDescent="0.2">
      <c r="A25" s="155"/>
      <c r="B25" s="155"/>
      <c r="C25" s="151"/>
      <c r="D25" s="49"/>
      <c r="E25" s="49"/>
      <c r="F25" s="204"/>
      <c r="G25" s="206"/>
    </row>
    <row r="26" spans="1:15" ht="27.75" x14ac:dyDescent="0.2">
      <c r="A26" s="155">
        <v>5.4</v>
      </c>
      <c r="B26" s="155"/>
      <c r="C26" s="151" t="s">
        <v>101</v>
      </c>
      <c r="D26" s="49" t="s">
        <v>48</v>
      </c>
      <c r="E26" s="49">
        <v>2230</v>
      </c>
      <c r="F26" s="202">
        <v>88</v>
      </c>
      <c r="G26" s="202">
        <f>F26*E26</f>
        <v>196240</v>
      </c>
    </row>
    <row r="27" spans="1:15" ht="27.75" x14ac:dyDescent="0.2">
      <c r="A27" s="155"/>
      <c r="B27" s="155"/>
      <c r="C27" s="151" t="s">
        <v>102</v>
      </c>
      <c r="D27" s="49"/>
      <c r="E27" s="49"/>
      <c r="F27" s="204"/>
      <c r="G27" s="206"/>
    </row>
    <row r="28" spans="1:15" x14ac:dyDescent="0.2">
      <c r="A28" s="155"/>
      <c r="B28" s="155"/>
      <c r="C28" s="151"/>
      <c r="D28" s="49"/>
      <c r="E28" s="49"/>
      <c r="F28" s="204"/>
      <c r="G28" s="206"/>
    </row>
    <row r="29" spans="1:15" x14ac:dyDescent="0.2">
      <c r="A29" s="155"/>
      <c r="B29" s="155"/>
      <c r="C29" s="157"/>
      <c r="D29" s="49"/>
      <c r="E29" s="49"/>
      <c r="F29" s="204"/>
      <c r="G29" s="206"/>
    </row>
    <row r="30" spans="1:15" ht="15" customHeight="1" x14ac:dyDescent="0.2">
      <c r="A30" s="53" t="s">
        <v>103</v>
      </c>
      <c r="B30" s="54"/>
      <c r="C30" s="148"/>
      <c r="D30" s="56"/>
      <c r="E30" s="56"/>
      <c r="F30" s="208"/>
      <c r="G30" s="209">
        <f>SUM(G15:G29)</f>
        <v>327697</v>
      </c>
    </row>
  </sheetData>
  <mergeCells count="8">
    <mergeCell ref="A12:A20"/>
    <mergeCell ref="D12:D20"/>
    <mergeCell ref="E12:E20"/>
    <mergeCell ref="C1:E1"/>
    <mergeCell ref="C2:E2"/>
    <mergeCell ref="C3:E3"/>
    <mergeCell ref="C4:E4"/>
    <mergeCell ref="A5:B5"/>
  </mergeCells>
  <pageMargins left="0.7" right="0.7" top="0.75" bottom="0.75" header="0.3" footer="0.3"/>
  <pageSetup scale="42"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3"/>
  <sheetViews>
    <sheetView view="pageBreakPreview" topLeftCell="A19" zoomScaleNormal="70" workbookViewId="0">
      <selection activeCell="A29" sqref="A29"/>
    </sheetView>
  </sheetViews>
  <sheetFormatPr defaultColWidth="9.16796875" defaultRowHeight="15" x14ac:dyDescent="0.2"/>
  <cols>
    <col min="1" max="1" width="9.16796875" style="29"/>
    <col min="2" max="2" width="12.40625" style="29" customWidth="1"/>
    <col min="3" max="3" width="47.73828125" style="29" customWidth="1"/>
    <col min="4" max="5" width="8.76171875" style="29" customWidth="1"/>
    <col min="6" max="6" width="13.6171875" style="213" customWidth="1"/>
    <col min="7" max="7" width="12.13671875" style="213" customWidth="1"/>
    <col min="8" max="11" width="9.16796875" style="213"/>
    <col min="12" max="16384" width="9.16796875" style="29"/>
  </cols>
  <sheetData>
    <row r="1" spans="1:8" ht="15" customHeight="1" x14ac:dyDescent="0.2">
      <c r="A1" s="8" t="s">
        <v>0</v>
      </c>
      <c r="B1" s="8"/>
      <c r="C1" s="265" t="s">
        <v>1</v>
      </c>
      <c r="D1" s="265"/>
      <c r="E1" s="265"/>
      <c r="F1" s="190"/>
      <c r="G1" s="191"/>
    </row>
    <row r="2" spans="1:8" ht="15" customHeight="1" x14ac:dyDescent="0.2">
      <c r="A2" s="8" t="s">
        <v>2</v>
      </c>
      <c r="B2" s="8"/>
      <c r="C2" s="266" t="s">
        <v>3</v>
      </c>
      <c r="D2" s="266"/>
      <c r="E2" s="266"/>
      <c r="F2" s="193"/>
      <c r="G2" s="191"/>
    </row>
    <row r="3" spans="1:8" x14ac:dyDescent="0.2">
      <c r="A3" s="11" t="s">
        <v>4</v>
      </c>
      <c r="B3" s="11"/>
      <c r="C3" s="267"/>
      <c r="D3" s="267"/>
      <c r="E3" s="267"/>
      <c r="F3" s="194"/>
      <c r="G3" s="195"/>
    </row>
    <row r="4" spans="1:8" ht="15.75" customHeight="1" thickBot="1" x14ac:dyDescent="0.25">
      <c r="A4" s="11" t="s">
        <v>5</v>
      </c>
      <c r="B4" s="11"/>
      <c r="C4" s="268" t="s">
        <v>104</v>
      </c>
      <c r="D4" s="268"/>
      <c r="E4" s="268"/>
      <c r="F4" s="196"/>
      <c r="G4" s="195"/>
    </row>
    <row r="5" spans="1:8" ht="15.75" thickBot="1" x14ac:dyDescent="0.25">
      <c r="A5" s="263" t="s">
        <v>7</v>
      </c>
      <c r="B5" s="264"/>
      <c r="C5" s="37" t="s">
        <v>8</v>
      </c>
      <c r="D5" s="38" t="s">
        <v>9</v>
      </c>
      <c r="E5" s="39" t="s">
        <v>10</v>
      </c>
      <c r="F5" s="197" t="s">
        <v>11</v>
      </c>
      <c r="G5" s="198" t="s">
        <v>12</v>
      </c>
    </row>
    <row r="6" spans="1:8" x14ac:dyDescent="0.2">
      <c r="A6" s="130"/>
      <c r="B6" s="66"/>
      <c r="C6" s="127"/>
      <c r="D6" s="67"/>
      <c r="E6" s="68"/>
      <c r="F6" s="69"/>
      <c r="G6" s="70"/>
    </row>
    <row r="7" spans="1:8" ht="16.899999999999999" customHeight="1" x14ac:dyDescent="0.2">
      <c r="A7" s="130">
        <v>6</v>
      </c>
      <c r="B7" s="66"/>
      <c r="C7" s="127" t="s">
        <v>105</v>
      </c>
      <c r="D7" s="67"/>
      <c r="E7" s="68"/>
      <c r="F7" s="69"/>
      <c r="G7" s="70"/>
    </row>
    <row r="8" spans="1:8" ht="47.25" x14ac:dyDescent="0.2">
      <c r="A8" s="130"/>
      <c r="B8" s="66"/>
      <c r="C8" s="127" t="s">
        <v>106</v>
      </c>
      <c r="D8" s="67"/>
      <c r="E8" s="68"/>
      <c r="F8" s="69"/>
      <c r="G8" s="70"/>
    </row>
    <row r="9" spans="1:8" x14ac:dyDescent="0.2">
      <c r="A9" s="130"/>
      <c r="B9" s="66"/>
      <c r="C9" s="127"/>
      <c r="D9" s="67"/>
      <c r="E9" s="68"/>
      <c r="F9" s="69"/>
      <c r="G9" s="70"/>
    </row>
    <row r="10" spans="1:8" x14ac:dyDescent="0.2">
      <c r="A10" s="130"/>
      <c r="B10" s="66"/>
      <c r="C10" s="127" t="s">
        <v>105</v>
      </c>
      <c r="D10" s="67"/>
      <c r="E10" s="68"/>
      <c r="F10" s="69"/>
      <c r="G10" s="70"/>
    </row>
    <row r="11" spans="1:8" ht="47.25" x14ac:dyDescent="0.2">
      <c r="A11" s="130">
        <v>6.1</v>
      </c>
      <c r="B11" s="66" t="s">
        <v>107</v>
      </c>
      <c r="C11" s="127" t="s">
        <v>108</v>
      </c>
      <c r="D11" s="67" t="s">
        <v>109</v>
      </c>
      <c r="E11" s="68">
        <v>1</v>
      </c>
      <c r="F11" s="202">
        <v>52407</v>
      </c>
      <c r="G11" s="202">
        <f>F11*E11</f>
        <v>52407</v>
      </c>
    </row>
    <row r="12" spans="1:8" x14ac:dyDescent="0.2">
      <c r="A12" s="130"/>
      <c r="B12" s="66"/>
      <c r="C12" s="127"/>
      <c r="D12" s="67"/>
      <c r="E12" s="68"/>
      <c r="F12" s="69"/>
      <c r="G12" s="70"/>
    </row>
    <row r="13" spans="1:8" ht="47.25" x14ac:dyDescent="0.2">
      <c r="A13" s="130">
        <v>6.2</v>
      </c>
      <c r="B13" s="66" t="s">
        <v>107</v>
      </c>
      <c r="C13" s="127" t="s">
        <v>110</v>
      </c>
      <c r="D13" s="67" t="s">
        <v>109</v>
      </c>
      <c r="E13" s="68">
        <v>1</v>
      </c>
      <c r="F13" s="202">
        <v>45825</v>
      </c>
      <c r="G13" s="202">
        <f>F13*E13</f>
        <v>45825</v>
      </c>
    </row>
    <row r="14" spans="1:8" x14ac:dyDescent="0.2">
      <c r="A14" s="130"/>
      <c r="B14" s="66"/>
      <c r="C14" s="127"/>
      <c r="D14" s="67"/>
      <c r="E14" s="68"/>
      <c r="F14" s="69"/>
      <c r="G14" s="70"/>
    </row>
    <row r="15" spans="1:8" ht="47.25" x14ac:dyDescent="0.2">
      <c r="A15" s="130">
        <v>6.3</v>
      </c>
      <c r="B15" s="66" t="s">
        <v>107</v>
      </c>
      <c r="C15" s="127" t="s">
        <v>111</v>
      </c>
      <c r="D15" s="67" t="s">
        <v>109</v>
      </c>
      <c r="E15" s="68">
        <v>1</v>
      </c>
      <c r="F15" s="202">
        <v>57038</v>
      </c>
      <c r="G15" s="202">
        <f>F15*E15</f>
        <v>57038</v>
      </c>
    </row>
    <row r="16" spans="1:8" x14ac:dyDescent="0.2">
      <c r="A16" s="130"/>
      <c r="B16" s="66"/>
      <c r="C16" s="127"/>
      <c r="D16" s="67"/>
      <c r="E16" s="68"/>
      <c r="F16" s="69"/>
      <c r="G16" s="70"/>
    </row>
    <row r="17" spans="1:8" ht="47.25" x14ac:dyDescent="0.2">
      <c r="A17" s="130">
        <v>6.4</v>
      </c>
      <c r="B17" s="149" t="s">
        <v>107</v>
      </c>
      <c r="C17" s="127" t="s">
        <v>112</v>
      </c>
      <c r="D17" s="67" t="s">
        <v>109</v>
      </c>
      <c r="E17" s="68">
        <v>9</v>
      </c>
      <c r="F17" s="202">
        <v>15844</v>
      </c>
      <c r="G17" s="202">
        <f>F17*E17</f>
        <v>142596</v>
      </c>
    </row>
    <row r="18" spans="1:8" x14ac:dyDescent="0.2">
      <c r="A18" s="130"/>
      <c r="B18" s="66"/>
      <c r="C18" s="127"/>
      <c r="D18" s="67"/>
      <c r="E18" s="68"/>
      <c r="F18" s="69"/>
      <c r="G18" s="70"/>
    </row>
    <row r="19" spans="1:8" ht="36" x14ac:dyDescent="0.2">
      <c r="A19" s="130">
        <v>6.5</v>
      </c>
      <c r="B19" s="149" t="s">
        <v>107</v>
      </c>
      <c r="C19" s="127" t="s">
        <v>113</v>
      </c>
      <c r="D19" s="67" t="s">
        <v>109</v>
      </c>
      <c r="E19" s="68">
        <v>1</v>
      </c>
      <c r="F19" s="202">
        <v>53625</v>
      </c>
      <c r="G19" s="202">
        <f>F19*E19</f>
        <v>53625</v>
      </c>
    </row>
    <row r="20" spans="1:8" x14ac:dyDescent="0.2">
      <c r="A20" s="130"/>
      <c r="B20" s="66"/>
      <c r="C20" s="127"/>
      <c r="D20" s="67"/>
      <c r="E20" s="68"/>
      <c r="F20" s="69"/>
      <c r="G20" s="70"/>
    </row>
    <row r="21" spans="1:8" ht="36" x14ac:dyDescent="0.2">
      <c r="A21" s="130">
        <v>6.6</v>
      </c>
      <c r="B21" s="149" t="s">
        <v>107</v>
      </c>
      <c r="C21" s="127" t="s">
        <v>114</v>
      </c>
      <c r="D21" s="67" t="s">
        <v>109</v>
      </c>
      <c r="E21" s="68">
        <v>1</v>
      </c>
      <c r="F21" s="202">
        <v>36563</v>
      </c>
      <c r="G21" s="202">
        <f>F21*E21</f>
        <v>36563</v>
      </c>
    </row>
    <row r="22" spans="1:8" x14ac:dyDescent="0.2">
      <c r="A22" s="130"/>
      <c r="B22" s="66"/>
      <c r="C22" s="127"/>
      <c r="D22" s="67"/>
      <c r="E22" s="68"/>
      <c r="F22" s="69"/>
      <c r="G22" s="70"/>
    </row>
    <row r="23" spans="1:8" ht="36" x14ac:dyDescent="0.2">
      <c r="A23" s="130">
        <v>6.7</v>
      </c>
      <c r="B23" s="149" t="s">
        <v>107</v>
      </c>
      <c r="C23" s="127" t="s">
        <v>115</v>
      </c>
      <c r="D23" s="67" t="s">
        <v>109</v>
      </c>
      <c r="E23" s="68">
        <v>11</v>
      </c>
      <c r="F23" s="202">
        <v>3750</v>
      </c>
      <c r="G23" s="202">
        <f>F23*E23</f>
        <v>41250</v>
      </c>
    </row>
    <row r="24" spans="1:8" x14ac:dyDescent="0.2">
      <c r="A24" s="130"/>
      <c r="B24" s="66"/>
      <c r="C24" s="127"/>
      <c r="D24" s="67"/>
      <c r="E24" s="68"/>
      <c r="F24" s="69"/>
      <c r="G24" s="70"/>
    </row>
    <row r="25" spans="1:8" ht="36" x14ac:dyDescent="0.2">
      <c r="A25" s="130">
        <v>6.8</v>
      </c>
      <c r="B25" s="149" t="s">
        <v>107</v>
      </c>
      <c r="C25" s="127" t="s">
        <v>116</v>
      </c>
      <c r="D25" s="67" t="s">
        <v>109</v>
      </c>
      <c r="E25" s="68">
        <v>2</v>
      </c>
      <c r="F25" s="202">
        <v>6063</v>
      </c>
      <c r="G25" s="202">
        <f>F25*E25</f>
        <v>12126</v>
      </c>
    </row>
    <row r="26" spans="1:8" x14ac:dyDescent="0.2">
      <c r="A26" s="130"/>
      <c r="B26" s="66"/>
      <c r="C26" s="127"/>
      <c r="D26" s="67"/>
      <c r="E26" s="68"/>
      <c r="F26" s="69"/>
      <c r="G26" s="70"/>
    </row>
    <row r="27" spans="1:8" ht="36" x14ac:dyDescent="0.2">
      <c r="A27" s="130">
        <v>6.9</v>
      </c>
      <c r="B27" s="149" t="s">
        <v>107</v>
      </c>
      <c r="C27" s="127" t="s">
        <v>117</v>
      </c>
      <c r="D27" s="67" t="s">
        <v>109</v>
      </c>
      <c r="E27" s="68">
        <v>14</v>
      </c>
      <c r="F27" s="202">
        <v>3000</v>
      </c>
      <c r="G27" s="202">
        <f>F27*E27</f>
        <v>42000</v>
      </c>
    </row>
    <row r="28" spans="1:8" x14ac:dyDescent="0.2">
      <c r="A28" s="130"/>
      <c r="B28" s="66"/>
      <c r="C28" s="127"/>
      <c r="D28" s="67"/>
      <c r="E28" s="68"/>
      <c r="F28" s="69"/>
      <c r="G28" s="70"/>
    </row>
    <row r="29" spans="1:8" ht="36" x14ac:dyDescent="0.2">
      <c r="A29" s="257" t="s">
        <v>622</v>
      </c>
      <c r="B29" s="149" t="s">
        <v>107</v>
      </c>
      <c r="C29" s="189" t="s">
        <v>601</v>
      </c>
      <c r="D29" s="67" t="s">
        <v>109</v>
      </c>
      <c r="E29" s="68">
        <v>4</v>
      </c>
      <c r="F29" s="202">
        <v>3000</v>
      </c>
      <c r="G29" s="202">
        <f>F29*E29</f>
        <v>12000</v>
      </c>
    </row>
    <row r="30" spans="1:8" x14ac:dyDescent="0.2">
      <c r="A30" s="130"/>
      <c r="B30" s="149"/>
      <c r="C30" s="127"/>
      <c r="D30" s="67"/>
      <c r="E30" s="68"/>
    </row>
    <row r="31" spans="1:8" ht="24.75" x14ac:dyDescent="0.2">
      <c r="A31" s="188">
        <v>6.11</v>
      </c>
      <c r="B31" s="149" t="s">
        <v>107</v>
      </c>
      <c r="C31" s="189" t="s">
        <v>602</v>
      </c>
      <c r="D31" s="67" t="s">
        <v>109</v>
      </c>
      <c r="E31" s="68">
        <v>1</v>
      </c>
      <c r="F31" s="202">
        <v>5250</v>
      </c>
      <c r="G31" s="202">
        <f>F31*E31</f>
        <v>5250</v>
      </c>
    </row>
    <row r="32" spans="1:8" ht="15.75" thickBot="1" x14ac:dyDescent="0.25">
      <c r="A32" s="130"/>
      <c r="B32" s="66"/>
      <c r="C32" s="127"/>
      <c r="D32" s="67"/>
      <c r="E32" s="68"/>
    </row>
    <row r="33" spans="1:7" ht="15" customHeight="1" thickBot="1" x14ac:dyDescent="0.25">
      <c r="A33" s="53" t="s">
        <v>118</v>
      </c>
      <c r="B33" s="54"/>
      <c r="C33" s="148"/>
      <c r="D33" s="56"/>
      <c r="E33" s="56"/>
      <c r="G33" s="209">
        <f>SUM(G11:G31)</f>
        <v>500680</v>
      </c>
    </row>
  </sheetData>
  <mergeCells count="5">
    <mergeCell ref="C1:E1"/>
    <mergeCell ref="C2:E2"/>
    <mergeCell ref="C3:E3"/>
    <mergeCell ref="C4:E4"/>
    <mergeCell ref="A5:B5"/>
  </mergeCells>
  <pageMargins left="0.7" right="0.7" top="0.75" bottom="0.75" header="0.3" footer="0.3"/>
  <pageSetup paperSize="9" scale="79"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35"/>
  <sheetViews>
    <sheetView showGridLines="0" view="pageBreakPreview" zoomScaleNormal="100" workbookViewId="0">
      <pane ySplit="6" topLeftCell="A73" activePane="bottomLeft" state="frozen"/>
      <selection pane="bottomLeft" activeCell="H83" sqref="H83"/>
    </sheetView>
  </sheetViews>
  <sheetFormatPr defaultColWidth="9.16796875" defaultRowHeight="15" customHeight="1" x14ac:dyDescent="0.15"/>
  <cols>
    <col min="1" max="1" width="5.66015625" style="60" customWidth="1"/>
    <col min="2" max="2" width="5.66015625" style="61" customWidth="1"/>
    <col min="3" max="3" width="58.12109375" style="127" customWidth="1"/>
    <col min="4" max="4" width="6.60546875" style="63" customWidth="1"/>
    <col min="5" max="5" width="7.28125" style="61" customWidth="1"/>
    <col min="6" max="6" width="20.6328125" style="64" customWidth="1"/>
    <col min="7" max="7" width="19.1484375" style="64" customWidth="1"/>
    <col min="8" max="8" width="9.16796875" style="60"/>
    <col min="9" max="9" width="13.078125" style="60" bestFit="1" customWidth="1"/>
    <col min="10"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28"/>
      <c r="D3" s="12"/>
      <c r="E3" s="10"/>
      <c r="F3" s="195"/>
      <c r="G3" s="195"/>
    </row>
    <row r="4" spans="1:8" ht="15" customHeight="1" x14ac:dyDescent="0.15">
      <c r="A4" s="11" t="s">
        <v>5</v>
      </c>
      <c r="B4" s="11"/>
      <c r="C4" s="128" t="s">
        <v>119</v>
      </c>
      <c r="D4" s="34"/>
      <c r="E4" s="35"/>
      <c r="F4" s="195"/>
      <c r="G4" s="195"/>
    </row>
    <row r="5" spans="1:8" ht="15" customHeight="1" x14ac:dyDescent="0.15">
      <c r="A5" s="35"/>
      <c r="B5" s="35"/>
      <c r="C5" s="128"/>
      <c r="D5" s="34"/>
      <c r="E5" s="35"/>
      <c r="F5" s="195"/>
      <c r="G5" s="195"/>
    </row>
    <row r="6" spans="1:8" ht="15" customHeight="1" x14ac:dyDescent="0.15">
      <c r="A6" s="36" t="s">
        <v>7</v>
      </c>
      <c r="B6" s="37"/>
      <c r="C6" s="129" t="s">
        <v>8</v>
      </c>
      <c r="D6" s="38" t="s">
        <v>9</v>
      </c>
      <c r="E6" s="39" t="s">
        <v>10</v>
      </c>
      <c r="F6" s="197" t="s">
        <v>11</v>
      </c>
      <c r="G6" s="198" t="s">
        <v>12</v>
      </c>
    </row>
    <row r="7" spans="1:8" ht="15" customHeight="1" x14ac:dyDescent="0.15">
      <c r="A7" s="130" t="s">
        <v>120</v>
      </c>
      <c r="B7" s="66"/>
      <c r="D7" s="67"/>
      <c r="E7" s="68"/>
      <c r="F7" s="69"/>
      <c r="G7" s="70"/>
    </row>
    <row r="8" spans="1:8" ht="35.25" x14ac:dyDescent="0.15">
      <c r="A8" s="72"/>
      <c r="B8" s="131"/>
      <c r="C8" s="107" t="s">
        <v>121</v>
      </c>
      <c r="D8" s="132"/>
      <c r="E8" s="133"/>
      <c r="F8" s="69"/>
      <c r="G8" s="70"/>
    </row>
    <row r="9" spans="1:8" ht="12.75" x14ac:dyDescent="0.15">
      <c r="A9" s="72"/>
      <c r="B9" s="131"/>
      <c r="C9" s="107"/>
      <c r="D9" s="132"/>
      <c r="E9" s="133"/>
      <c r="F9" s="69"/>
      <c r="G9" s="70"/>
    </row>
    <row r="10" spans="1:8" ht="24" x14ac:dyDescent="0.15">
      <c r="A10" s="72"/>
      <c r="B10" s="131"/>
      <c r="C10" s="107" t="s">
        <v>122</v>
      </c>
      <c r="D10" s="132"/>
      <c r="E10" s="134"/>
      <c r="F10" s="69"/>
      <c r="G10" s="70"/>
    </row>
    <row r="11" spans="1:8" ht="12.75" x14ac:dyDescent="0.15">
      <c r="A11" s="72"/>
      <c r="B11" s="131"/>
      <c r="C11" s="107"/>
      <c r="D11" s="132"/>
      <c r="E11" s="134"/>
      <c r="F11" s="69"/>
      <c r="G11" s="70"/>
    </row>
    <row r="12" spans="1:8" ht="12.75" x14ac:dyDescent="0.15">
      <c r="A12" s="72"/>
      <c r="B12" s="131"/>
      <c r="C12" s="91"/>
      <c r="D12" s="75"/>
      <c r="E12" s="134"/>
      <c r="F12" s="69"/>
      <c r="G12" s="70"/>
    </row>
    <row r="13" spans="1:8" ht="12.75" x14ac:dyDescent="0.15">
      <c r="A13" s="72"/>
      <c r="B13" s="131"/>
      <c r="C13" s="107"/>
      <c r="D13" s="132"/>
      <c r="E13" s="134"/>
      <c r="F13" s="69"/>
      <c r="G13" s="70"/>
    </row>
    <row r="14" spans="1:8" ht="46.5" x14ac:dyDescent="0.15">
      <c r="A14" s="77"/>
      <c r="B14" s="135" t="s">
        <v>123</v>
      </c>
      <c r="C14" s="136" t="s">
        <v>124</v>
      </c>
      <c r="D14" s="132"/>
      <c r="E14" s="134"/>
      <c r="F14" s="69"/>
      <c r="G14" s="70"/>
    </row>
    <row r="15" spans="1:8" ht="15" customHeight="1" x14ac:dyDescent="0.15">
      <c r="A15" s="77"/>
      <c r="B15" s="131"/>
      <c r="C15" s="107" t="s">
        <v>125</v>
      </c>
      <c r="D15" s="132"/>
      <c r="E15" s="134"/>
      <c r="F15" s="69"/>
      <c r="G15" s="70"/>
    </row>
    <row r="16" spans="1:8" ht="15" customHeight="1" x14ac:dyDescent="0.15">
      <c r="A16" s="77"/>
      <c r="B16" s="131"/>
      <c r="C16" s="107" t="s">
        <v>126</v>
      </c>
      <c r="D16" s="132"/>
      <c r="E16" s="134"/>
      <c r="F16" s="69"/>
      <c r="G16" s="70"/>
    </row>
    <row r="17" spans="1:8" ht="15" customHeight="1" x14ac:dyDescent="0.15">
      <c r="A17" s="77"/>
      <c r="B17" s="131"/>
      <c r="C17" s="107" t="s">
        <v>127</v>
      </c>
      <c r="D17" s="132"/>
      <c r="E17" s="134"/>
      <c r="F17" s="69"/>
      <c r="G17" s="70"/>
    </row>
    <row r="18" spans="1:8" ht="15" customHeight="1" x14ac:dyDescent="0.15">
      <c r="A18" s="77"/>
      <c r="B18" s="131"/>
      <c r="C18" s="107" t="s">
        <v>128</v>
      </c>
      <c r="D18" s="132"/>
      <c r="E18" s="134"/>
      <c r="F18" s="69"/>
      <c r="G18" s="70"/>
    </row>
    <row r="19" spans="1:8" ht="15" customHeight="1" x14ac:dyDescent="0.15">
      <c r="A19" s="77"/>
      <c r="B19" s="131"/>
      <c r="C19" s="107" t="s">
        <v>129</v>
      </c>
      <c r="D19" s="132"/>
      <c r="E19" s="134"/>
      <c r="F19" s="69"/>
      <c r="G19" s="70"/>
    </row>
    <row r="20" spans="1:8" ht="15" customHeight="1" x14ac:dyDescent="0.15">
      <c r="A20" s="77"/>
      <c r="B20" s="131"/>
      <c r="C20" s="107" t="s">
        <v>130</v>
      </c>
      <c r="D20" s="132"/>
      <c r="E20" s="134"/>
      <c r="F20" s="69"/>
      <c r="G20" s="70"/>
    </row>
    <row r="21" spans="1:8" ht="15" customHeight="1" x14ac:dyDescent="0.15">
      <c r="A21" s="77"/>
      <c r="B21" s="131"/>
      <c r="C21" s="107"/>
      <c r="D21" s="132"/>
      <c r="E21" s="134"/>
      <c r="F21" s="69"/>
      <c r="G21" s="70"/>
    </row>
    <row r="22" spans="1:8" ht="24" x14ac:dyDescent="0.15">
      <c r="A22" s="77"/>
      <c r="B22" s="131" t="s">
        <v>131</v>
      </c>
      <c r="C22" s="107" t="s">
        <v>132</v>
      </c>
      <c r="D22" s="132" t="s">
        <v>133</v>
      </c>
      <c r="E22" s="134">
        <v>0</v>
      </c>
      <c r="F22" s="69"/>
      <c r="G22" s="70"/>
    </row>
    <row r="23" spans="1:8" ht="16.5" customHeight="1" x14ac:dyDescent="0.15">
      <c r="A23" s="77"/>
      <c r="B23" s="131" t="s">
        <v>134</v>
      </c>
      <c r="C23" s="107" t="s">
        <v>135</v>
      </c>
      <c r="D23" s="132" t="s">
        <v>133</v>
      </c>
      <c r="E23" s="133">
        <v>0</v>
      </c>
      <c r="F23" s="69"/>
      <c r="G23" s="70"/>
    </row>
    <row r="24" spans="1:8" ht="12.75" x14ac:dyDescent="0.15">
      <c r="A24" s="77"/>
      <c r="B24" s="131" t="s">
        <v>136</v>
      </c>
      <c r="C24" s="107" t="s">
        <v>137</v>
      </c>
      <c r="D24" s="132" t="s">
        <v>133</v>
      </c>
      <c r="E24" s="133">
        <v>0</v>
      </c>
      <c r="F24" s="69"/>
      <c r="G24" s="70"/>
    </row>
    <row r="25" spans="1:8" ht="12.75" x14ac:dyDescent="0.15">
      <c r="A25" s="72"/>
      <c r="B25" s="131"/>
      <c r="C25" s="107"/>
      <c r="D25" s="132"/>
      <c r="E25" s="134"/>
      <c r="F25" s="69"/>
      <c r="G25" s="70"/>
    </row>
    <row r="26" spans="1:8" ht="12.75" x14ac:dyDescent="0.15">
      <c r="A26" s="72"/>
      <c r="B26" s="131" t="s">
        <v>138</v>
      </c>
      <c r="C26" s="107" t="s">
        <v>139</v>
      </c>
      <c r="D26" s="132" t="s">
        <v>133</v>
      </c>
      <c r="E26" s="134">
        <v>0</v>
      </c>
      <c r="F26" s="69"/>
      <c r="G26" s="70"/>
    </row>
    <row r="27" spans="1:8" ht="12.75" x14ac:dyDescent="0.15">
      <c r="A27" s="77"/>
      <c r="B27" s="131"/>
      <c r="C27" s="107"/>
      <c r="D27" s="132"/>
      <c r="E27" s="134"/>
      <c r="F27" s="69"/>
      <c r="G27" s="70"/>
    </row>
    <row r="28" spans="1:8" ht="12.75" x14ac:dyDescent="0.15">
      <c r="A28" s="77"/>
      <c r="B28" s="131" t="s">
        <v>140</v>
      </c>
      <c r="C28" s="107" t="s">
        <v>141</v>
      </c>
      <c r="D28" s="132" t="s">
        <v>133</v>
      </c>
      <c r="E28" s="134">
        <v>0</v>
      </c>
      <c r="F28" s="69"/>
      <c r="G28" s="70"/>
    </row>
    <row r="29" spans="1:8" ht="12.75" x14ac:dyDescent="0.15">
      <c r="A29" s="77"/>
      <c r="B29" s="131"/>
      <c r="C29" s="107"/>
      <c r="D29" s="132"/>
      <c r="E29" s="134"/>
      <c r="F29" s="69"/>
      <c r="G29" s="70"/>
    </row>
    <row r="30" spans="1:8" ht="12.75" x14ac:dyDescent="0.15">
      <c r="A30" s="77"/>
      <c r="B30" s="131"/>
      <c r="C30" s="107"/>
      <c r="D30" s="132"/>
      <c r="E30" s="134"/>
      <c r="F30" s="69"/>
      <c r="G30" s="70"/>
    </row>
    <row r="31" spans="1:8" ht="12.75" x14ac:dyDescent="0.15">
      <c r="A31" s="77"/>
      <c r="B31" s="131"/>
      <c r="C31" s="107"/>
      <c r="D31" s="132"/>
      <c r="E31" s="134"/>
      <c r="F31" s="69"/>
      <c r="G31" s="70"/>
    </row>
    <row r="32" spans="1:8" ht="12.75" x14ac:dyDescent="0.15">
      <c r="A32" s="77"/>
      <c r="B32" s="135" t="s">
        <v>142</v>
      </c>
      <c r="C32" s="136" t="s">
        <v>143</v>
      </c>
      <c r="D32" s="137"/>
      <c r="E32" s="134"/>
      <c r="F32" s="69"/>
      <c r="G32" s="70"/>
    </row>
    <row r="33" spans="1:11" ht="24" x14ac:dyDescent="0.15">
      <c r="A33" s="77"/>
      <c r="B33" s="131" t="s">
        <v>144</v>
      </c>
      <c r="C33" s="107" t="s">
        <v>145</v>
      </c>
      <c r="D33" s="132" t="s">
        <v>133</v>
      </c>
      <c r="E33" s="134">
        <v>0</v>
      </c>
      <c r="F33" s="69"/>
      <c r="G33" s="70"/>
    </row>
    <row r="34" spans="1:11" ht="12.75" x14ac:dyDescent="0.15">
      <c r="A34" s="77"/>
      <c r="B34" s="131" t="s">
        <v>146</v>
      </c>
      <c r="C34" s="107" t="s">
        <v>147</v>
      </c>
      <c r="D34" s="132" t="s">
        <v>133</v>
      </c>
      <c r="E34" s="134">
        <v>0</v>
      </c>
      <c r="F34" s="69"/>
      <c r="G34" s="70"/>
    </row>
    <row r="35" spans="1:11" ht="24" x14ac:dyDescent="0.15">
      <c r="A35" s="77"/>
      <c r="B35" s="131" t="s">
        <v>148</v>
      </c>
      <c r="C35" s="107" t="s">
        <v>149</v>
      </c>
      <c r="D35" s="132" t="s">
        <v>133</v>
      </c>
      <c r="E35" s="134">
        <v>0</v>
      </c>
      <c r="F35" s="69"/>
      <c r="G35" s="70"/>
    </row>
    <row r="36" spans="1:11" ht="12.75" x14ac:dyDescent="0.15">
      <c r="A36" s="77"/>
      <c r="B36" s="131"/>
      <c r="C36" s="107"/>
      <c r="D36" s="132"/>
      <c r="E36" s="134"/>
      <c r="F36" s="69"/>
      <c r="G36" s="70"/>
    </row>
    <row r="37" spans="1:11" ht="12.75" x14ac:dyDescent="0.15">
      <c r="A37" s="77"/>
      <c r="B37" s="131"/>
      <c r="C37" s="107"/>
      <c r="D37" s="132"/>
      <c r="E37" s="134"/>
      <c r="F37" s="69"/>
      <c r="G37" s="70"/>
    </row>
    <row r="38" spans="1:11" ht="12.75" x14ac:dyDescent="0.15">
      <c r="A38" s="77"/>
      <c r="B38" s="131"/>
      <c r="C38" s="107"/>
      <c r="D38" s="132"/>
      <c r="E38" s="134"/>
      <c r="F38" s="69"/>
      <c r="G38" s="70"/>
    </row>
    <row r="39" spans="1:11" ht="12.75" x14ac:dyDescent="0.15">
      <c r="A39" s="77"/>
      <c r="B39" s="131"/>
      <c r="C39" s="107"/>
      <c r="D39" s="132"/>
      <c r="E39" s="134"/>
      <c r="F39" s="69"/>
      <c r="G39" s="70"/>
    </row>
    <row r="40" spans="1:11" ht="12.75" x14ac:dyDescent="0.15">
      <c r="A40" s="77"/>
      <c r="B40" s="131"/>
      <c r="C40" s="107"/>
      <c r="D40" s="132"/>
      <c r="E40" s="134"/>
      <c r="F40" s="69"/>
      <c r="G40" s="70"/>
    </row>
    <row r="41" spans="1:11" ht="12.75" x14ac:dyDescent="0.15">
      <c r="A41" s="77"/>
      <c r="B41" s="131"/>
      <c r="C41" s="138"/>
      <c r="D41" s="137"/>
      <c r="E41" s="134"/>
      <c r="F41" s="69"/>
      <c r="G41" s="70"/>
    </row>
    <row r="42" spans="1:11" ht="12.75" x14ac:dyDescent="0.15">
      <c r="A42" s="77"/>
      <c r="B42" s="131" t="s">
        <v>150</v>
      </c>
      <c r="C42" s="136" t="s">
        <v>151</v>
      </c>
      <c r="D42" s="132"/>
      <c r="E42" s="134"/>
      <c r="F42" s="69"/>
      <c r="G42" s="70"/>
    </row>
    <row r="43" spans="1:11" ht="80.25" customHeight="1" x14ac:dyDescent="0.15">
      <c r="A43" s="77"/>
      <c r="B43" s="131"/>
      <c r="C43" s="107" t="s">
        <v>152</v>
      </c>
      <c r="D43" s="139"/>
      <c r="E43" s="140"/>
      <c r="F43" s="69"/>
      <c r="G43" s="70"/>
    </row>
    <row r="44" spans="1:11" ht="18" customHeight="1" x14ac:dyDescent="0.15">
      <c r="A44" s="77"/>
      <c r="B44" s="131" t="s">
        <v>153</v>
      </c>
      <c r="C44" s="107" t="s">
        <v>154</v>
      </c>
      <c r="D44" s="137" t="s">
        <v>155</v>
      </c>
      <c r="E44" s="134">
        <v>6</v>
      </c>
      <c r="F44" s="202">
        <v>85</v>
      </c>
      <c r="G44" s="202">
        <f>F44*E44</f>
        <v>510</v>
      </c>
    </row>
    <row r="45" spans="1:11" ht="18" customHeight="1" x14ac:dyDescent="0.15">
      <c r="A45" s="77"/>
      <c r="B45" s="131" t="s">
        <v>156</v>
      </c>
      <c r="C45" s="107" t="s">
        <v>157</v>
      </c>
      <c r="D45" s="137" t="s">
        <v>155</v>
      </c>
      <c r="E45" s="134">
        <v>20</v>
      </c>
      <c r="F45" s="202">
        <v>65</v>
      </c>
      <c r="G45" s="202">
        <f>F45*E45</f>
        <v>1300</v>
      </c>
    </row>
    <row r="46" spans="1:11" ht="18" customHeight="1" x14ac:dyDescent="0.15">
      <c r="A46" s="77"/>
      <c r="B46" s="131" t="s">
        <v>158</v>
      </c>
      <c r="C46" s="107" t="s">
        <v>159</v>
      </c>
      <c r="D46" s="137" t="s">
        <v>155</v>
      </c>
      <c r="E46" s="134">
        <v>156</v>
      </c>
      <c r="F46" s="202">
        <v>47</v>
      </c>
      <c r="G46" s="202">
        <f>F46*E46</f>
        <v>7332</v>
      </c>
    </row>
    <row r="47" spans="1:11" ht="18" customHeight="1" x14ac:dyDescent="0.15">
      <c r="A47" s="77"/>
      <c r="B47" s="131" t="s">
        <v>160</v>
      </c>
      <c r="C47" s="107" t="s">
        <v>161</v>
      </c>
      <c r="D47" s="137" t="s">
        <v>155</v>
      </c>
      <c r="E47" s="134">
        <v>277</v>
      </c>
      <c r="F47" s="202">
        <v>25</v>
      </c>
      <c r="G47" s="202">
        <f>F47*E47</f>
        <v>6925</v>
      </c>
    </row>
    <row r="48" spans="1:11" ht="18" customHeight="1" x14ac:dyDescent="0.15">
      <c r="A48" s="77"/>
      <c r="B48" s="131"/>
      <c r="C48" s="107"/>
      <c r="D48" s="137"/>
      <c r="E48" s="134"/>
      <c r="F48" s="69"/>
      <c r="G48" s="70"/>
    </row>
    <row r="49" spans="1:8" ht="14.25" customHeight="1" x14ac:dyDescent="0.15">
      <c r="A49" s="77"/>
      <c r="B49" s="131"/>
      <c r="C49" s="107"/>
      <c r="D49" s="137"/>
      <c r="E49" s="134"/>
      <c r="F49" s="69"/>
      <c r="G49" s="70"/>
    </row>
    <row r="50" spans="1:8" ht="6.75" customHeight="1" x14ac:dyDescent="0.15">
      <c r="A50" s="77"/>
      <c r="B50" s="131"/>
      <c r="C50" s="107"/>
      <c r="D50" s="137"/>
      <c r="E50" s="134"/>
      <c r="F50" s="69"/>
      <c r="G50" s="70"/>
    </row>
    <row r="51" spans="1:8" ht="12.75" x14ac:dyDescent="0.15">
      <c r="A51" s="77"/>
      <c r="B51" s="131"/>
      <c r="C51" s="107"/>
      <c r="D51" s="137"/>
      <c r="E51" s="134"/>
      <c r="F51" s="69"/>
      <c r="G51" s="70"/>
    </row>
    <row r="52" spans="1:8" ht="12.75" x14ac:dyDescent="0.15">
      <c r="A52" s="77"/>
      <c r="B52" s="131"/>
      <c r="C52" s="107"/>
      <c r="D52" s="137"/>
      <c r="E52" s="134"/>
      <c r="F52" s="69"/>
      <c r="G52" s="70"/>
    </row>
    <row r="53" spans="1:8" ht="35.25" x14ac:dyDescent="0.15">
      <c r="A53" s="77"/>
      <c r="B53" s="131" t="s">
        <v>162</v>
      </c>
      <c r="C53" s="107" t="s">
        <v>163</v>
      </c>
      <c r="D53" s="137" t="s">
        <v>133</v>
      </c>
      <c r="E53" s="134">
        <v>6</v>
      </c>
      <c r="F53" s="202">
        <v>5625</v>
      </c>
      <c r="G53" s="202">
        <f>F53*E53</f>
        <v>33750</v>
      </c>
    </row>
    <row r="54" spans="1:8" ht="12.75" x14ac:dyDescent="0.15">
      <c r="A54" s="77"/>
      <c r="B54" s="131"/>
      <c r="C54" s="107"/>
      <c r="D54" s="137"/>
      <c r="E54" s="134"/>
      <c r="F54" s="69"/>
      <c r="G54" s="70"/>
    </row>
    <row r="55" spans="1:8" ht="12.75" x14ac:dyDescent="0.15">
      <c r="A55" s="77"/>
      <c r="B55" s="131"/>
      <c r="C55" s="107"/>
      <c r="D55" s="137"/>
      <c r="E55" s="134"/>
      <c r="F55" s="69"/>
      <c r="G55" s="70"/>
    </row>
    <row r="56" spans="1:8" ht="12.75" x14ac:dyDescent="0.15">
      <c r="A56" s="72"/>
      <c r="B56" s="135" t="s">
        <v>164</v>
      </c>
      <c r="C56" s="136" t="s">
        <v>165</v>
      </c>
      <c r="D56" s="132"/>
      <c r="E56" s="134"/>
      <c r="F56" s="69"/>
      <c r="G56" s="70"/>
    </row>
    <row r="57" spans="1:8" ht="12.75" x14ac:dyDescent="0.15">
      <c r="A57" s="72"/>
      <c r="B57" s="131"/>
      <c r="C57" s="138"/>
      <c r="D57" s="132"/>
      <c r="E57" s="134"/>
      <c r="F57" s="69"/>
      <c r="G57" s="70"/>
    </row>
    <row r="58" spans="1:8" ht="58.5" x14ac:dyDescent="0.15">
      <c r="A58" s="77"/>
      <c r="B58" s="131" t="s">
        <v>166</v>
      </c>
      <c r="C58" s="107" t="s">
        <v>167</v>
      </c>
      <c r="D58" s="75" t="s">
        <v>133</v>
      </c>
      <c r="E58" s="141">
        <v>1</v>
      </c>
      <c r="F58" s="202">
        <v>54500</v>
      </c>
      <c r="G58" s="202">
        <f>F58*E58</f>
        <v>54500</v>
      </c>
    </row>
    <row r="59" spans="1:8" ht="15" customHeight="1" x14ac:dyDescent="0.15">
      <c r="A59" s="77"/>
      <c r="B59" s="131"/>
      <c r="D59" s="75"/>
      <c r="E59" s="75"/>
      <c r="F59" s="69"/>
      <c r="G59" s="70"/>
    </row>
    <row r="60" spans="1:8" ht="15" customHeight="1" x14ac:dyDescent="0.15">
      <c r="A60" s="77"/>
      <c r="B60" s="131"/>
      <c r="C60" s="107"/>
      <c r="D60" s="75"/>
      <c r="E60" s="75"/>
      <c r="F60" s="69"/>
      <c r="G60" s="70"/>
    </row>
    <row r="61" spans="1:8" ht="12.75" x14ac:dyDescent="0.15">
      <c r="A61" s="77"/>
      <c r="B61" s="131"/>
      <c r="C61" s="107"/>
      <c r="D61" s="75"/>
      <c r="E61" s="141"/>
      <c r="F61" s="69"/>
      <c r="G61" s="70"/>
    </row>
    <row r="62" spans="1:8" ht="15" customHeight="1" x14ac:dyDescent="0.15">
      <c r="A62" s="77"/>
      <c r="B62" s="131"/>
      <c r="C62" s="107"/>
      <c r="D62" s="75"/>
      <c r="E62" s="141"/>
      <c r="F62" s="69"/>
      <c r="G62" s="70"/>
    </row>
    <row r="63" spans="1:8" ht="12.75" x14ac:dyDescent="0.15">
      <c r="A63" s="77"/>
      <c r="B63" s="131"/>
      <c r="C63" s="107"/>
      <c r="D63" s="137"/>
      <c r="E63" s="134"/>
      <c r="F63" s="69"/>
      <c r="G63" s="70"/>
    </row>
    <row r="64" spans="1:8" ht="58.5" x14ac:dyDescent="0.15">
      <c r="A64" s="77"/>
      <c r="B64" s="131" t="s">
        <v>168</v>
      </c>
      <c r="C64" s="107" t="s">
        <v>169</v>
      </c>
      <c r="D64" s="75" t="s">
        <v>133</v>
      </c>
      <c r="E64" s="141">
        <v>2</v>
      </c>
      <c r="F64" s="202">
        <v>6250</v>
      </c>
      <c r="G64" s="202">
        <f>F64*E64</f>
        <v>12500</v>
      </c>
    </row>
    <row r="65" spans="1:12" ht="12.75" x14ac:dyDescent="0.15">
      <c r="A65" s="77"/>
      <c r="B65" s="131"/>
      <c r="C65" s="107"/>
      <c r="D65" s="137"/>
      <c r="E65" s="134"/>
      <c r="F65" s="69"/>
      <c r="G65" s="70"/>
    </row>
    <row r="66" spans="1:12" ht="12.75" x14ac:dyDescent="0.15">
      <c r="A66" s="77"/>
      <c r="B66" s="131"/>
      <c r="C66" s="107"/>
      <c r="D66" s="137"/>
      <c r="E66" s="134"/>
      <c r="F66" s="69"/>
      <c r="G66" s="70"/>
    </row>
    <row r="67" spans="1:12" ht="12.75" x14ac:dyDescent="0.15">
      <c r="A67" s="77"/>
      <c r="B67" s="131"/>
      <c r="C67" s="107"/>
      <c r="D67" s="137"/>
      <c r="E67" s="134"/>
      <c r="F67" s="69"/>
      <c r="G67" s="70"/>
    </row>
    <row r="68" spans="1:12" ht="12.75" x14ac:dyDescent="0.15">
      <c r="A68" s="77"/>
      <c r="B68" s="131"/>
      <c r="C68" s="107"/>
      <c r="D68" s="137"/>
      <c r="E68" s="134"/>
      <c r="F68" s="69"/>
      <c r="G68" s="70"/>
    </row>
    <row r="69" spans="1:12" ht="12.75" x14ac:dyDescent="0.15">
      <c r="A69" s="77"/>
      <c r="B69" s="131"/>
      <c r="C69" s="107"/>
      <c r="D69" s="137"/>
      <c r="E69" s="134"/>
      <c r="F69" s="69"/>
      <c r="G69" s="70"/>
    </row>
    <row r="70" spans="1:12" ht="12.75" x14ac:dyDescent="0.15">
      <c r="A70" s="77"/>
      <c r="B70" s="131"/>
      <c r="C70" s="107"/>
      <c r="D70" s="137"/>
      <c r="E70" s="134"/>
      <c r="F70" s="69"/>
      <c r="G70" s="70"/>
    </row>
    <row r="71" spans="1:12" ht="12.75" x14ac:dyDescent="0.15">
      <c r="A71" s="77"/>
      <c r="B71" s="131"/>
      <c r="C71" s="107"/>
      <c r="D71" s="137"/>
      <c r="E71" s="134"/>
      <c r="F71" s="69"/>
      <c r="G71" s="70"/>
    </row>
    <row r="72" spans="1:12" ht="12.75" x14ac:dyDescent="0.15">
      <c r="A72" s="77"/>
      <c r="B72" s="135" t="s">
        <v>170</v>
      </c>
      <c r="C72" s="136" t="s">
        <v>171</v>
      </c>
      <c r="D72" s="137"/>
      <c r="E72" s="134"/>
      <c r="F72" s="69"/>
      <c r="G72" s="70"/>
    </row>
    <row r="73" spans="1:12" ht="12.75" x14ac:dyDescent="0.15">
      <c r="A73" s="77"/>
      <c r="B73" s="131"/>
      <c r="C73" s="138"/>
      <c r="D73" s="75"/>
      <c r="E73" s="141"/>
      <c r="F73" s="69"/>
      <c r="G73" s="70"/>
    </row>
    <row r="74" spans="1:12" ht="69.75" x14ac:dyDescent="0.15">
      <c r="A74" s="77"/>
      <c r="B74" s="131"/>
      <c r="C74" s="107" t="s">
        <v>172</v>
      </c>
      <c r="D74" s="75"/>
      <c r="E74" s="134"/>
      <c r="F74" s="69"/>
      <c r="G74" s="70"/>
    </row>
    <row r="75" spans="1:12" ht="12.75" x14ac:dyDescent="0.15">
      <c r="A75" s="77"/>
      <c r="B75" s="131"/>
      <c r="C75" s="107"/>
      <c r="D75" s="75"/>
      <c r="E75" s="141"/>
      <c r="F75" s="69"/>
      <c r="G75" s="70"/>
    </row>
    <row r="76" spans="1:12" ht="15" customHeight="1" x14ac:dyDescent="0.15">
      <c r="A76" s="77"/>
      <c r="B76" s="131"/>
      <c r="C76" s="107"/>
      <c r="D76" s="137"/>
      <c r="E76" s="134"/>
      <c r="F76" s="69"/>
      <c r="G76" s="70"/>
    </row>
    <row r="77" spans="1:12" ht="13.5" customHeight="1" x14ac:dyDescent="0.15">
      <c r="A77" s="72"/>
      <c r="B77" s="131" t="s">
        <v>173</v>
      </c>
      <c r="C77" s="107" t="s">
        <v>174</v>
      </c>
      <c r="D77" s="75" t="s">
        <v>155</v>
      </c>
      <c r="E77" s="137">
        <v>156</v>
      </c>
      <c r="F77" s="202">
        <v>192</v>
      </c>
      <c r="G77" s="202">
        <f>F77*E77</f>
        <v>29952</v>
      </c>
    </row>
    <row r="78" spans="1:12" ht="13.5" x14ac:dyDescent="0.15">
      <c r="A78" s="72"/>
      <c r="B78" s="131" t="s">
        <v>175</v>
      </c>
      <c r="C78" s="107" t="s">
        <v>176</v>
      </c>
      <c r="D78" s="75" t="s">
        <v>155</v>
      </c>
      <c r="E78" s="137">
        <v>100</v>
      </c>
      <c r="F78" s="202">
        <v>125</v>
      </c>
      <c r="G78" s="202">
        <f>F78*E78</f>
        <v>12500</v>
      </c>
    </row>
    <row r="79" spans="1:12" ht="24" x14ac:dyDescent="0.15">
      <c r="A79" s="77"/>
      <c r="B79" s="131" t="s">
        <v>177</v>
      </c>
      <c r="C79" s="107" t="s">
        <v>178</v>
      </c>
      <c r="D79" s="75" t="s">
        <v>155</v>
      </c>
      <c r="E79" s="75">
        <v>66</v>
      </c>
      <c r="F79" s="202">
        <v>67</v>
      </c>
      <c r="G79" s="202">
        <f>F79*E79</f>
        <v>4422</v>
      </c>
    </row>
    <row r="80" spans="1:12" ht="18" customHeight="1" x14ac:dyDescent="0.15">
      <c r="A80" s="77"/>
      <c r="B80" s="131"/>
      <c r="C80" s="107"/>
      <c r="D80" s="75"/>
      <c r="E80" s="137"/>
      <c r="F80" s="69"/>
      <c r="G80" s="70"/>
    </row>
    <row r="81" spans="1:8" ht="17.25" customHeight="1" x14ac:dyDescent="0.15">
      <c r="A81" s="77"/>
      <c r="B81" s="131" t="s">
        <v>179</v>
      </c>
      <c r="C81" s="107" t="s">
        <v>180</v>
      </c>
      <c r="D81" s="68"/>
      <c r="E81" s="133"/>
      <c r="F81" s="69"/>
      <c r="G81" s="70"/>
    </row>
    <row r="82" spans="1:8" ht="15" customHeight="1" x14ac:dyDescent="0.15">
      <c r="A82" s="77"/>
      <c r="B82" s="131"/>
      <c r="C82" s="107" t="s">
        <v>181</v>
      </c>
      <c r="D82" s="132" t="s">
        <v>133</v>
      </c>
      <c r="E82" s="133">
        <v>5</v>
      </c>
      <c r="F82" s="202">
        <v>563</v>
      </c>
      <c r="G82" s="202">
        <f>F82*E82</f>
        <v>2815</v>
      </c>
    </row>
    <row r="83" spans="1:8" ht="27.75" customHeight="1" x14ac:dyDescent="0.15">
      <c r="A83" s="77"/>
      <c r="B83" s="131"/>
      <c r="C83" s="107" t="s">
        <v>182</v>
      </c>
      <c r="D83" s="132" t="s">
        <v>133</v>
      </c>
      <c r="E83" s="133">
        <v>1</v>
      </c>
      <c r="F83" s="259">
        <v>438</v>
      </c>
      <c r="G83" s="260">
        <f>F83*E83</f>
        <v>438</v>
      </c>
    </row>
    <row r="84" spans="1:8" ht="51.75" customHeight="1" x14ac:dyDescent="0.15">
      <c r="A84" s="77"/>
      <c r="B84" s="131"/>
      <c r="C84" s="107" t="s">
        <v>594</v>
      </c>
      <c r="D84" s="132"/>
      <c r="E84" s="133"/>
      <c r="F84" s="69"/>
      <c r="G84" s="70"/>
    </row>
    <row r="85" spans="1:8" ht="27.75" customHeight="1" x14ac:dyDescent="0.15">
      <c r="A85" s="77"/>
      <c r="B85" s="131" t="s">
        <v>595</v>
      </c>
      <c r="C85" s="107" t="s">
        <v>597</v>
      </c>
      <c r="D85" s="132" t="s">
        <v>133</v>
      </c>
      <c r="E85" s="133">
        <v>2</v>
      </c>
      <c r="F85" s="202">
        <v>275</v>
      </c>
      <c r="G85" s="202">
        <f>F85*E85</f>
        <v>550</v>
      </c>
    </row>
    <row r="86" spans="1:8" ht="24" x14ac:dyDescent="0.15">
      <c r="A86" s="77"/>
      <c r="B86" s="131" t="s">
        <v>596</v>
      </c>
      <c r="C86" s="144" t="s">
        <v>598</v>
      </c>
      <c r="D86" s="132" t="s">
        <v>133</v>
      </c>
      <c r="E86" s="133">
        <v>10</v>
      </c>
      <c r="F86" s="202">
        <v>400</v>
      </c>
      <c r="G86" s="202">
        <f>F86*E86</f>
        <v>4000</v>
      </c>
    </row>
    <row r="87" spans="1:8" ht="12.75" x14ac:dyDescent="0.15">
      <c r="A87" s="72"/>
      <c r="B87" s="131"/>
      <c r="C87" s="107"/>
      <c r="D87" s="132"/>
      <c r="E87" s="133"/>
      <c r="F87" s="69"/>
      <c r="G87" s="70"/>
    </row>
    <row r="88" spans="1:8" ht="12.75" x14ac:dyDescent="0.15">
      <c r="A88" s="72"/>
      <c r="B88" s="131"/>
      <c r="C88" s="107"/>
      <c r="D88" s="132"/>
      <c r="E88" s="133"/>
      <c r="F88" s="69"/>
      <c r="G88" s="70"/>
    </row>
    <row r="89" spans="1:8" ht="16.5" customHeight="1" x14ac:dyDescent="0.15">
      <c r="A89" s="72"/>
      <c r="B89" s="135" t="s">
        <v>183</v>
      </c>
      <c r="C89" s="136" t="s">
        <v>184</v>
      </c>
      <c r="D89" s="132"/>
      <c r="E89" s="133"/>
      <c r="F89" s="69"/>
      <c r="G89" s="70"/>
    </row>
    <row r="90" spans="1:8" ht="24" x14ac:dyDescent="0.15">
      <c r="A90" s="72"/>
      <c r="B90" s="131" t="s">
        <v>185</v>
      </c>
      <c r="C90" s="107" t="s">
        <v>186</v>
      </c>
      <c r="D90" s="75" t="s">
        <v>133</v>
      </c>
      <c r="E90" s="141">
        <v>5</v>
      </c>
      <c r="F90" s="202">
        <v>4375</v>
      </c>
      <c r="G90" s="202">
        <f>F90*E90</f>
        <v>21875</v>
      </c>
    </row>
    <row r="91" spans="1:8" ht="12.75" x14ac:dyDescent="0.15">
      <c r="A91" s="72"/>
      <c r="B91" s="131"/>
      <c r="C91" s="107" t="s">
        <v>187</v>
      </c>
      <c r="D91" s="137"/>
      <c r="E91" s="134"/>
      <c r="F91" s="69"/>
      <c r="G91" s="70"/>
    </row>
    <row r="92" spans="1:8" ht="12.75" x14ac:dyDescent="0.15">
      <c r="A92" s="72"/>
      <c r="B92" s="131"/>
      <c r="C92" s="107"/>
      <c r="D92" s="75"/>
      <c r="E92" s="141"/>
      <c r="F92" s="69"/>
      <c r="G92" s="70"/>
    </row>
    <row r="93" spans="1:8" ht="24" x14ac:dyDescent="0.15">
      <c r="A93" s="72"/>
      <c r="B93" s="131" t="s">
        <v>188</v>
      </c>
      <c r="C93" s="107" t="s">
        <v>189</v>
      </c>
      <c r="D93" s="75" t="s">
        <v>133</v>
      </c>
      <c r="E93" s="141">
        <v>1</v>
      </c>
      <c r="F93" s="202">
        <v>2250</v>
      </c>
      <c r="G93" s="202">
        <f>F93*E93</f>
        <v>2250</v>
      </c>
    </row>
    <row r="94" spans="1:8" ht="12.75" x14ac:dyDescent="0.15">
      <c r="A94" s="72"/>
      <c r="B94" s="131"/>
      <c r="C94" s="107"/>
      <c r="D94" s="137"/>
      <c r="E94" s="134"/>
      <c r="F94" s="69"/>
      <c r="G94" s="70"/>
    </row>
    <row r="95" spans="1:8" ht="12.75" x14ac:dyDescent="0.15">
      <c r="A95" s="72"/>
      <c r="B95" s="131"/>
      <c r="C95" s="107"/>
      <c r="D95" s="75"/>
      <c r="E95" s="141"/>
      <c r="F95" s="69"/>
      <c r="G95" s="70"/>
    </row>
    <row r="96" spans="1:8" ht="12.75" x14ac:dyDescent="0.15">
      <c r="A96" s="72"/>
      <c r="B96" s="131"/>
      <c r="C96" s="107"/>
      <c r="D96" s="137"/>
      <c r="E96" s="134"/>
      <c r="F96" s="69"/>
      <c r="G96" s="70"/>
    </row>
    <row r="97" spans="1:12" ht="12.75" x14ac:dyDescent="0.15">
      <c r="A97" s="72"/>
      <c r="B97" s="131"/>
      <c r="C97" s="107"/>
      <c r="D97" s="132"/>
      <c r="E97" s="133"/>
      <c r="F97" s="69"/>
      <c r="G97" s="70"/>
    </row>
    <row r="98" spans="1:12" ht="12.75" x14ac:dyDescent="0.15">
      <c r="A98" s="72"/>
      <c r="B98" s="131"/>
      <c r="C98" s="107"/>
      <c r="D98" s="132"/>
      <c r="E98" s="133"/>
      <c r="F98" s="69"/>
      <c r="G98" s="70"/>
    </row>
    <row r="99" spans="1:12" ht="15" customHeight="1" x14ac:dyDescent="0.15">
      <c r="A99" s="77"/>
      <c r="B99" s="135" t="s">
        <v>190</v>
      </c>
      <c r="C99" s="136" t="s">
        <v>191</v>
      </c>
      <c r="D99" s="68"/>
      <c r="E99" s="133"/>
      <c r="F99" s="69"/>
      <c r="G99" s="70"/>
    </row>
    <row r="100" spans="1:12" ht="15" customHeight="1" x14ac:dyDescent="0.15">
      <c r="A100" s="77"/>
      <c r="B100" s="131"/>
      <c r="C100" s="138"/>
      <c r="D100" s="68"/>
      <c r="E100" s="133"/>
      <c r="F100" s="69"/>
      <c r="G100" s="70"/>
    </row>
    <row r="101" spans="1:12" ht="69.75" x14ac:dyDescent="0.15">
      <c r="A101" s="77"/>
      <c r="B101" s="131"/>
      <c r="C101" s="107" t="s">
        <v>192</v>
      </c>
      <c r="D101" s="68"/>
      <c r="E101" s="133"/>
      <c r="F101" s="69"/>
      <c r="G101" s="70"/>
    </row>
    <row r="102" spans="1:12" ht="15" customHeight="1" x14ac:dyDescent="0.15">
      <c r="A102" s="77"/>
      <c r="B102" s="131"/>
      <c r="C102" s="138"/>
      <c r="D102" s="68"/>
      <c r="E102" s="133"/>
      <c r="F102" s="69"/>
      <c r="G102" s="70"/>
    </row>
    <row r="103" spans="1:12" ht="24.75" customHeight="1" x14ac:dyDescent="0.15">
      <c r="A103" s="77"/>
      <c r="B103" s="131" t="s">
        <v>193</v>
      </c>
      <c r="C103" s="107" t="s">
        <v>194</v>
      </c>
      <c r="D103" s="142" t="s">
        <v>155</v>
      </c>
      <c r="E103" s="143">
        <v>18</v>
      </c>
      <c r="F103" s="202">
        <v>167</v>
      </c>
      <c r="G103" s="202">
        <f>F103*E103</f>
        <v>3006</v>
      </c>
    </row>
    <row r="104" spans="1:12" ht="15" customHeight="1" x14ac:dyDescent="0.15">
      <c r="A104" s="77"/>
      <c r="B104" s="131"/>
      <c r="C104" s="107"/>
      <c r="D104" s="142"/>
      <c r="E104" s="133"/>
      <c r="F104" s="69"/>
      <c r="G104" s="70"/>
    </row>
    <row r="105" spans="1:12" ht="31.5" customHeight="1" x14ac:dyDescent="0.15">
      <c r="A105" s="77"/>
      <c r="B105" s="131" t="s">
        <v>195</v>
      </c>
      <c r="C105" s="107" t="s">
        <v>196</v>
      </c>
      <c r="D105" s="142" t="s">
        <v>155</v>
      </c>
      <c r="E105" s="143">
        <v>100</v>
      </c>
      <c r="F105" s="202">
        <v>100</v>
      </c>
      <c r="G105" s="202">
        <f>F105*E105</f>
        <v>10000</v>
      </c>
    </row>
    <row r="106" spans="1:12" ht="31.5" customHeight="1" x14ac:dyDescent="0.15">
      <c r="A106" s="77"/>
      <c r="B106" s="131" t="s">
        <v>197</v>
      </c>
      <c r="C106" s="144" t="s">
        <v>198</v>
      </c>
      <c r="D106" s="142" t="s">
        <v>109</v>
      </c>
      <c r="E106" s="261">
        <v>17</v>
      </c>
      <c r="F106" s="202">
        <v>813</v>
      </c>
      <c r="G106" s="202">
        <f>F106*E106</f>
        <v>13821</v>
      </c>
    </row>
    <row r="107" spans="1:12" ht="15" customHeight="1" x14ac:dyDescent="0.15">
      <c r="A107" s="77"/>
      <c r="B107" s="131" t="s">
        <v>199</v>
      </c>
      <c r="C107" s="107" t="s">
        <v>200</v>
      </c>
      <c r="D107" s="68"/>
      <c r="E107" s="133"/>
      <c r="F107" s="69"/>
      <c r="G107" s="70"/>
    </row>
    <row r="108" spans="1:12" ht="15" customHeight="1" x14ac:dyDescent="0.15">
      <c r="A108" s="77"/>
      <c r="B108" s="131"/>
      <c r="C108" s="107" t="s">
        <v>181</v>
      </c>
      <c r="D108" s="132" t="s">
        <v>133</v>
      </c>
      <c r="E108" s="133">
        <v>2</v>
      </c>
      <c r="F108" s="202">
        <v>563</v>
      </c>
      <c r="G108" s="202">
        <f>F108*E108</f>
        <v>1126</v>
      </c>
    </row>
    <row r="109" spans="1:12" ht="15" customHeight="1" x14ac:dyDescent="0.15">
      <c r="A109" s="77"/>
      <c r="B109" s="131"/>
      <c r="C109" s="107" t="s">
        <v>182</v>
      </c>
      <c r="D109" s="132" t="s">
        <v>133</v>
      </c>
      <c r="E109" s="133">
        <v>4</v>
      </c>
      <c r="F109" s="202">
        <v>438</v>
      </c>
      <c r="G109" s="202">
        <f>F109*E109</f>
        <v>1752</v>
      </c>
    </row>
    <row r="110" spans="1:12" ht="15" customHeight="1" x14ac:dyDescent="0.15">
      <c r="A110" s="77"/>
      <c r="B110" s="131"/>
      <c r="C110" s="107"/>
      <c r="D110" s="132"/>
      <c r="E110" s="133"/>
      <c r="F110" s="69"/>
      <c r="G110" s="70"/>
    </row>
    <row r="111" spans="1:12" ht="15" customHeight="1" x14ac:dyDescent="0.15">
      <c r="A111" s="77"/>
      <c r="B111" s="131"/>
      <c r="C111" s="107"/>
      <c r="D111" s="132"/>
      <c r="E111" s="133"/>
      <c r="F111" s="69"/>
      <c r="G111" s="70"/>
    </row>
    <row r="112" spans="1:12" ht="35.25" x14ac:dyDescent="0.15">
      <c r="A112" s="77"/>
      <c r="B112" s="131" t="s">
        <v>201</v>
      </c>
      <c r="C112" s="107" t="s">
        <v>202</v>
      </c>
      <c r="D112" s="75"/>
      <c r="E112" s="133"/>
      <c r="F112" s="69"/>
      <c r="G112" s="70"/>
    </row>
    <row r="113" spans="1:11" ht="12.75" x14ac:dyDescent="0.15">
      <c r="A113" s="77"/>
      <c r="B113" s="131"/>
      <c r="C113" s="107" t="s">
        <v>203</v>
      </c>
      <c r="D113" s="75"/>
      <c r="E113" s="133"/>
      <c r="F113" s="69"/>
      <c r="G113" s="70"/>
    </row>
    <row r="114" spans="1:11" ht="15.75" customHeight="1" x14ac:dyDescent="0.15">
      <c r="A114" s="77"/>
      <c r="B114" s="131"/>
      <c r="C114" s="107"/>
      <c r="D114" s="75"/>
      <c r="E114" s="133"/>
      <c r="F114" s="69"/>
      <c r="G114" s="70"/>
    </row>
    <row r="115" spans="1:11" ht="16.5" customHeight="1" x14ac:dyDescent="0.15">
      <c r="A115" s="77"/>
      <c r="B115" s="131"/>
      <c r="C115" s="107" t="s">
        <v>204</v>
      </c>
      <c r="D115" s="75" t="s">
        <v>109</v>
      </c>
      <c r="E115" s="133">
        <v>10</v>
      </c>
      <c r="F115" s="202">
        <v>438</v>
      </c>
      <c r="G115" s="202">
        <f>F115*E115</f>
        <v>4380</v>
      </c>
    </row>
    <row r="116" spans="1:11" ht="15" customHeight="1" x14ac:dyDescent="0.15">
      <c r="A116" s="77"/>
      <c r="B116" s="131"/>
      <c r="C116" s="107" t="s">
        <v>205</v>
      </c>
      <c r="D116" s="75" t="s">
        <v>109</v>
      </c>
      <c r="E116" s="133">
        <v>43</v>
      </c>
      <c r="F116" s="202">
        <v>188</v>
      </c>
      <c r="G116" s="202">
        <f>F116*E116</f>
        <v>8084</v>
      </c>
    </row>
    <row r="117" spans="1:11" ht="15" customHeight="1" x14ac:dyDescent="0.15">
      <c r="A117" s="72"/>
      <c r="B117" s="131"/>
      <c r="C117" s="107"/>
      <c r="D117" s="75"/>
      <c r="E117" s="133"/>
      <c r="F117" s="69"/>
      <c r="G117" s="70"/>
    </row>
    <row r="118" spans="1:11" ht="12.75" x14ac:dyDescent="0.15">
      <c r="A118" s="72"/>
      <c r="B118" s="131"/>
      <c r="C118" s="107"/>
      <c r="D118" s="137"/>
      <c r="E118" s="133"/>
      <c r="F118" s="69"/>
      <c r="G118" s="70"/>
    </row>
    <row r="119" spans="1:11" ht="13.5" x14ac:dyDescent="0.15">
      <c r="A119" s="77"/>
      <c r="B119" s="131" t="s">
        <v>206</v>
      </c>
      <c r="C119" s="107" t="s">
        <v>207</v>
      </c>
      <c r="D119" s="75" t="s">
        <v>109</v>
      </c>
      <c r="E119" s="133">
        <v>14</v>
      </c>
      <c r="F119" s="202">
        <v>188</v>
      </c>
      <c r="G119" s="202">
        <f>F119*E119</f>
        <v>2632</v>
      </c>
    </row>
    <row r="120" spans="1:11" ht="12.75" x14ac:dyDescent="0.15">
      <c r="A120" s="77"/>
      <c r="B120" s="131"/>
      <c r="C120" s="107"/>
      <c r="D120" s="137"/>
      <c r="E120" s="133"/>
      <c r="F120" s="69"/>
      <c r="G120" s="70"/>
    </row>
    <row r="121" spans="1:11" ht="12.75" x14ac:dyDescent="0.15">
      <c r="A121" s="77"/>
      <c r="B121" s="131"/>
      <c r="C121" s="107"/>
      <c r="D121" s="137"/>
      <c r="E121" s="133"/>
      <c r="F121" s="69"/>
      <c r="G121" s="70"/>
    </row>
    <row r="122" spans="1:11" ht="12.75" x14ac:dyDescent="0.15">
      <c r="A122" s="77"/>
      <c r="B122" s="135" t="s">
        <v>208</v>
      </c>
      <c r="C122" s="145" t="s">
        <v>209</v>
      </c>
      <c r="D122" s="137"/>
      <c r="E122" s="133"/>
      <c r="F122" s="69"/>
      <c r="G122" s="70"/>
    </row>
    <row r="123" spans="1:11" ht="12.75" x14ac:dyDescent="0.15">
      <c r="A123" s="72"/>
      <c r="B123" s="131"/>
      <c r="C123" s="107"/>
      <c r="D123" s="137"/>
      <c r="E123" s="133"/>
      <c r="F123" s="69"/>
      <c r="G123" s="70"/>
    </row>
    <row r="124" spans="1:11" ht="104.25" x14ac:dyDescent="0.15">
      <c r="A124" s="72"/>
      <c r="B124" s="131"/>
      <c r="C124" s="107" t="s">
        <v>210</v>
      </c>
      <c r="D124" s="75" t="s">
        <v>211</v>
      </c>
      <c r="E124" s="143">
        <v>1</v>
      </c>
      <c r="F124" s="202">
        <v>50625</v>
      </c>
      <c r="G124" s="202">
        <f>F124*E124</f>
        <v>50625</v>
      </c>
    </row>
    <row r="125" spans="1:11" ht="12.75" x14ac:dyDescent="0.15">
      <c r="A125" s="77"/>
      <c r="B125" s="131"/>
      <c r="C125" s="107"/>
      <c r="D125" s="137"/>
      <c r="E125" s="133"/>
      <c r="F125" s="69"/>
      <c r="G125" s="70"/>
    </row>
    <row r="126" spans="1:11" ht="12.75" x14ac:dyDescent="0.15">
      <c r="A126" s="77"/>
      <c r="B126" s="131"/>
      <c r="C126" s="107"/>
      <c r="D126" s="137"/>
      <c r="E126" s="133"/>
      <c r="F126" s="69"/>
      <c r="G126" s="70"/>
    </row>
    <row r="127" spans="1:11" ht="12.75" x14ac:dyDescent="0.15">
      <c r="A127" s="77"/>
      <c r="B127" s="131"/>
      <c r="C127" s="107"/>
      <c r="D127" s="137"/>
      <c r="E127" s="133"/>
      <c r="F127" s="69"/>
      <c r="G127" s="70"/>
    </row>
    <row r="128" spans="1:11" ht="12.75" x14ac:dyDescent="0.15">
      <c r="A128" s="77"/>
      <c r="B128" s="131"/>
      <c r="C128" s="107"/>
      <c r="D128" s="137"/>
      <c r="E128" s="133"/>
      <c r="F128" s="69"/>
      <c r="G128" s="70"/>
    </row>
    <row r="129" spans="1:8" ht="12.75" x14ac:dyDescent="0.15">
      <c r="A129" s="77"/>
      <c r="B129" s="131"/>
      <c r="C129" s="107"/>
      <c r="D129" s="137"/>
      <c r="E129" s="133"/>
      <c r="F129" s="69"/>
      <c r="G129" s="70"/>
    </row>
    <row r="130" spans="1:8" ht="12.75" x14ac:dyDescent="0.15">
      <c r="A130" s="77"/>
      <c r="B130" s="131"/>
      <c r="C130" s="107"/>
      <c r="D130" s="137"/>
      <c r="E130" s="133"/>
      <c r="F130" s="69"/>
      <c r="G130" s="70"/>
    </row>
    <row r="131" spans="1:8" ht="12.75" x14ac:dyDescent="0.15">
      <c r="A131" s="77"/>
      <c r="B131" s="131"/>
      <c r="C131" s="107"/>
      <c r="D131" s="137"/>
      <c r="E131" s="133"/>
      <c r="F131" s="69"/>
      <c r="G131" s="70"/>
    </row>
    <row r="132" spans="1:8" ht="12.75" x14ac:dyDescent="0.15">
      <c r="A132" s="77"/>
      <c r="B132" s="131"/>
      <c r="C132" s="107"/>
      <c r="D132" s="137"/>
      <c r="E132" s="133"/>
      <c r="F132" s="69"/>
      <c r="G132" s="70"/>
    </row>
    <row r="133" spans="1:8" ht="15" customHeight="1" x14ac:dyDescent="0.15">
      <c r="A133" s="77"/>
      <c r="B133" s="66"/>
      <c r="C133" s="146"/>
      <c r="D133" s="147"/>
      <c r="E133" s="137"/>
      <c r="F133" s="69"/>
      <c r="G133" s="70"/>
    </row>
    <row r="134" spans="1:8" ht="15" customHeight="1" x14ac:dyDescent="0.15">
      <c r="A134" s="77"/>
      <c r="B134" s="66"/>
      <c r="C134" s="146"/>
      <c r="D134" s="147"/>
      <c r="E134" s="137"/>
      <c r="F134" s="69"/>
      <c r="G134" s="70"/>
    </row>
    <row r="135" spans="1:8" ht="15" customHeight="1" x14ac:dyDescent="0.15">
      <c r="A135" s="53" t="s">
        <v>212</v>
      </c>
      <c r="B135" s="54"/>
      <c r="C135" s="148"/>
      <c r="D135" s="56"/>
      <c r="E135" s="56"/>
      <c r="F135" s="208"/>
      <c r="G135" s="209">
        <f>SUM(G11:G134)</f>
        <v>291045</v>
      </c>
    </row>
  </sheetData>
  <sheetProtection selectLockedCells="1"/>
  <mergeCells count="1">
    <mergeCell ref="C1:D1"/>
  </mergeCells>
  <printOptions horizontalCentered="1"/>
  <pageMargins left="0.511811023622047" right="0.511811023622047" top="0.74803149606299202" bottom="0.74803149606299202" header="0.31496062992126" footer="0.31496062992126"/>
  <pageSetup paperSize="9" scale="68" orientation="portrait" r:id="rId1"/>
  <headerFooter>
    <oddFooter>&amp;RPage &amp;P of &amp;N</oddFooter>
  </headerFooter>
  <rowBreaks count="3" manualBreakCount="3">
    <brk id="40" max="6" man="1"/>
    <brk id="68" max="6" man="1"/>
    <brk id="97" max="6"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50"/>
  <sheetViews>
    <sheetView showGridLines="0" view="pageBreakPreview" zoomScale="115" zoomScaleNormal="100" workbookViewId="0">
      <pane ySplit="6" topLeftCell="A21" activePane="bottomLeft" state="frozen"/>
      <selection pane="bottomLeft" activeCell="C33" sqref="C33"/>
    </sheetView>
  </sheetViews>
  <sheetFormatPr defaultColWidth="9.16796875" defaultRowHeight="15" customHeight="1" x14ac:dyDescent="0.15"/>
  <cols>
    <col min="1" max="1" width="5.66015625" style="60" customWidth="1"/>
    <col min="2" max="2" width="5.66015625" style="61" customWidth="1"/>
    <col min="3" max="3" width="62.16796875" style="62" customWidth="1"/>
    <col min="4" max="4" width="7.55078125" style="63" customWidth="1"/>
    <col min="5" max="5" width="8.62890625" style="61" customWidth="1"/>
    <col min="6" max="6" width="10.515625" style="64" customWidth="1"/>
    <col min="7" max="7" width="11.73046875" style="64" customWidth="1"/>
    <col min="8"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1"/>
      <c r="D3" s="12"/>
      <c r="E3" s="10"/>
      <c r="F3" s="195"/>
      <c r="G3" s="195"/>
    </row>
    <row r="4" spans="1:8" ht="15" customHeight="1" x14ac:dyDescent="0.15">
      <c r="A4" s="11" t="s">
        <v>5</v>
      </c>
      <c r="B4" s="11"/>
      <c r="C4" s="11" t="s">
        <v>213</v>
      </c>
      <c r="D4" s="34"/>
      <c r="E4" s="35"/>
      <c r="F4" s="195"/>
      <c r="G4" s="195"/>
    </row>
    <row r="5" spans="1:8" ht="15" customHeight="1" x14ac:dyDescent="0.15">
      <c r="A5" s="35"/>
      <c r="B5" s="35"/>
      <c r="C5" s="11"/>
      <c r="D5" s="34"/>
      <c r="E5" s="35"/>
      <c r="F5" s="195"/>
      <c r="G5" s="195"/>
    </row>
    <row r="6" spans="1:8" ht="15" customHeight="1" x14ac:dyDescent="0.15">
      <c r="A6" s="263" t="s">
        <v>7</v>
      </c>
      <c r="B6" s="279"/>
      <c r="C6" s="38" t="s">
        <v>8</v>
      </c>
      <c r="D6" s="38" t="s">
        <v>9</v>
      </c>
      <c r="E6" s="39" t="s">
        <v>10</v>
      </c>
      <c r="F6" s="197" t="s">
        <v>11</v>
      </c>
      <c r="G6" s="198" t="s">
        <v>12</v>
      </c>
    </row>
    <row r="7" spans="1:8" ht="15" customHeight="1" x14ac:dyDescent="0.15">
      <c r="A7" s="65">
        <v>8</v>
      </c>
      <c r="B7" s="66"/>
      <c r="D7" s="67"/>
      <c r="E7" s="68"/>
      <c r="F7" s="69"/>
      <c r="G7" s="70"/>
    </row>
    <row r="8" spans="1:8" ht="12.75" x14ac:dyDescent="0.15">
      <c r="A8" s="72"/>
      <c r="B8" s="73"/>
      <c r="C8" s="74" t="s">
        <v>214</v>
      </c>
      <c r="D8" s="75"/>
      <c r="E8" s="76"/>
      <c r="F8" s="69"/>
      <c r="G8" s="70"/>
    </row>
    <row r="9" spans="1:8" ht="12.75" x14ac:dyDescent="0.15">
      <c r="A9" s="77"/>
      <c r="B9" s="73"/>
      <c r="C9" s="78"/>
      <c r="D9" s="75"/>
      <c r="E9" s="76"/>
      <c r="F9" s="69"/>
      <c r="G9" s="70"/>
    </row>
    <row r="10" spans="1:8" ht="12.75" x14ac:dyDescent="0.15">
      <c r="A10" s="72"/>
      <c r="B10" s="73"/>
      <c r="C10" s="78" t="s">
        <v>215</v>
      </c>
      <c r="D10" s="75"/>
      <c r="E10" s="76"/>
      <c r="F10" s="69"/>
      <c r="G10" s="70"/>
    </row>
    <row r="11" spans="1:8" ht="12.75" x14ac:dyDescent="0.15">
      <c r="A11" s="77"/>
      <c r="B11" s="73"/>
      <c r="C11" s="78" t="s">
        <v>216</v>
      </c>
      <c r="D11" s="75"/>
      <c r="E11" s="76"/>
      <c r="F11" s="69"/>
      <c r="G11" s="70"/>
    </row>
    <row r="12" spans="1:8" ht="15" customHeight="1" x14ac:dyDescent="0.15">
      <c r="A12" s="77"/>
      <c r="B12" s="73"/>
      <c r="C12" s="78" t="s">
        <v>217</v>
      </c>
      <c r="D12" s="75"/>
      <c r="E12" s="76"/>
      <c r="F12" s="69"/>
      <c r="G12" s="70"/>
    </row>
    <row r="13" spans="1:8" ht="12.75" x14ac:dyDescent="0.15">
      <c r="A13" s="72"/>
      <c r="B13" s="73"/>
      <c r="C13" s="78" t="s">
        <v>218</v>
      </c>
      <c r="D13" s="75"/>
      <c r="E13" s="76"/>
      <c r="F13" s="69"/>
      <c r="G13" s="70"/>
    </row>
    <row r="14" spans="1:8" ht="12.75" x14ac:dyDescent="0.15">
      <c r="A14" s="77"/>
      <c r="B14" s="73"/>
      <c r="C14" s="78" t="s">
        <v>219</v>
      </c>
      <c r="D14" s="75"/>
      <c r="E14" s="76"/>
      <c r="F14" s="69"/>
      <c r="G14" s="70"/>
    </row>
    <row r="15" spans="1:8" ht="15" customHeight="1" x14ac:dyDescent="0.15">
      <c r="A15" s="77"/>
      <c r="B15" s="73"/>
      <c r="C15" s="78" t="s">
        <v>220</v>
      </c>
      <c r="D15" s="75" t="s">
        <v>221</v>
      </c>
      <c r="E15" s="76"/>
      <c r="F15" s="69"/>
      <c r="G15" s="70"/>
    </row>
    <row r="16" spans="1:8" ht="12.75" x14ac:dyDescent="0.15">
      <c r="A16" s="77"/>
      <c r="B16" s="73"/>
      <c r="C16" s="78"/>
      <c r="D16" s="75"/>
      <c r="E16" s="76"/>
      <c r="F16" s="69"/>
      <c r="G16" s="70"/>
    </row>
    <row r="17" spans="1:8" ht="12.75" x14ac:dyDescent="0.15">
      <c r="A17" s="77"/>
      <c r="B17" s="73"/>
      <c r="C17" s="78" t="s">
        <v>222</v>
      </c>
      <c r="D17" s="75"/>
      <c r="E17" s="76"/>
      <c r="F17" s="69"/>
      <c r="G17" s="70"/>
    </row>
    <row r="18" spans="1:8" ht="15" customHeight="1" x14ac:dyDescent="0.15">
      <c r="A18" s="77"/>
      <c r="B18" s="73"/>
      <c r="C18" s="78" t="s">
        <v>223</v>
      </c>
      <c r="D18" s="75" t="s">
        <v>221</v>
      </c>
      <c r="E18" s="76"/>
      <c r="F18" s="69"/>
      <c r="G18" s="70"/>
    </row>
    <row r="19" spans="1:8" ht="15" customHeight="1" x14ac:dyDescent="0.15">
      <c r="A19" s="77"/>
      <c r="B19" s="73"/>
      <c r="C19" s="78"/>
      <c r="D19" s="75"/>
      <c r="E19" s="76"/>
      <c r="F19" s="69"/>
      <c r="G19" s="70"/>
    </row>
    <row r="20" spans="1:8" ht="24.75" customHeight="1" x14ac:dyDescent="0.15">
      <c r="A20" s="77"/>
      <c r="B20" s="73"/>
      <c r="C20" s="91"/>
      <c r="D20" s="75"/>
      <c r="E20" s="76"/>
      <c r="F20" s="69"/>
      <c r="G20" s="70"/>
    </row>
    <row r="21" spans="1:8" ht="15" customHeight="1" x14ac:dyDescent="0.15">
      <c r="A21" s="72"/>
      <c r="B21" s="73"/>
      <c r="C21" s="78"/>
      <c r="D21" s="75"/>
      <c r="E21" s="76"/>
      <c r="F21" s="69"/>
      <c r="G21" s="70"/>
    </row>
    <row r="22" spans="1:8" ht="15" customHeight="1" x14ac:dyDescent="0.15">
      <c r="A22" s="72"/>
      <c r="B22" s="73"/>
      <c r="C22" s="74" t="s">
        <v>224</v>
      </c>
      <c r="D22" s="75"/>
      <c r="E22" s="76"/>
      <c r="F22" s="69"/>
      <c r="G22" s="70"/>
    </row>
    <row r="23" spans="1:8" ht="12.75" x14ac:dyDescent="0.15">
      <c r="A23" s="72"/>
      <c r="B23" s="73"/>
      <c r="C23" s="74"/>
      <c r="D23" s="75"/>
      <c r="E23" s="76"/>
      <c r="F23" s="69"/>
      <c r="G23" s="70"/>
    </row>
    <row r="24" spans="1:8" ht="13.5" x14ac:dyDescent="0.15">
      <c r="A24" s="72"/>
      <c r="B24" s="113" t="s">
        <v>123</v>
      </c>
      <c r="C24" s="108" t="s">
        <v>225</v>
      </c>
      <c r="D24" s="86"/>
      <c r="E24" s="76"/>
      <c r="F24" s="69"/>
      <c r="G24" s="70"/>
    </row>
    <row r="25" spans="1:8" ht="15" customHeight="1" x14ac:dyDescent="0.15">
      <c r="A25" s="77"/>
      <c r="B25" s="85"/>
      <c r="C25" s="83"/>
      <c r="D25" s="86"/>
      <c r="E25" s="76"/>
      <c r="F25" s="69"/>
      <c r="G25" s="70"/>
    </row>
    <row r="26" spans="1:8" ht="15" customHeight="1" x14ac:dyDescent="0.15">
      <c r="A26" s="77"/>
      <c r="B26" s="73">
        <v>1</v>
      </c>
      <c r="C26" s="74" t="s">
        <v>226</v>
      </c>
      <c r="D26" s="86"/>
      <c r="E26" s="76"/>
      <c r="F26" s="69"/>
      <c r="G26" s="70"/>
    </row>
    <row r="27" spans="1:8" ht="15" customHeight="1" x14ac:dyDescent="0.15">
      <c r="A27" s="77"/>
      <c r="B27" s="85"/>
      <c r="C27" s="74" t="s">
        <v>227</v>
      </c>
      <c r="D27" s="86"/>
      <c r="E27" s="76"/>
      <c r="F27" s="69"/>
      <c r="G27" s="70"/>
    </row>
    <row r="28" spans="1:8" ht="15" customHeight="1" x14ac:dyDescent="0.15">
      <c r="A28" s="77"/>
      <c r="B28" s="85"/>
      <c r="C28" s="74" t="s">
        <v>228</v>
      </c>
      <c r="D28" s="86"/>
      <c r="E28" s="76"/>
      <c r="F28" s="69"/>
      <c r="G28" s="70"/>
    </row>
    <row r="29" spans="1:8" ht="15" customHeight="1" x14ac:dyDescent="0.15">
      <c r="A29" s="77"/>
      <c r="B29" s="85"/>
      <c r="C29" s="74" t="s">
        <v>229</v>
      </c>
      <c r="D29" s="86"/>
      <c r="E29" s="76"/>
      <c r="F29" s="69"/>
      <c r="G29" s="70"/>
    </row>
    <row r="30" spans="1:8" ht="15" customHeight="1" x14ac:dyDescent="0.15">
      <c r="A30" s="77"/>
      <c r="B30" s="85"/>
      <c r="C30" s="74" t="s">
        <v>230</v>
      </c>
      <c r="D30" s="86"/>
      <c r="E30" s="76"/>
      <c r="F30" s="69"/>
      <c r="G30" s="70"/>
    </row>
    <row r="31" spans="1:8" ht="15" customHeight="1" x14ac:dyDescent="0.15">
      <c r="A31" s="77"/>
      <c r="B31" s="85"/>
      <c r="C31" s="74" t="s">
        <v>231</v>
      </c>
      <c r="D31" s="86"/>
      <c r="E31" s="76"/>
      <c r="F31" s="69"/>
      <c r="G31" s="70"/>
    </row>
    <row r="32" spans="1:8" ht="15" customHeight="1" x14ac:dyDescent="0.15">
      <c r="A32" s="77"/>
      <c r="B32" s="85"/>
      <c r="C32" s="83"/>
      <c r="D32" s="86"/>
      <c r="E32" s="76"/>
      <c r="F32" s="69"/>
      <c r="G32" s="70"/>
    </row>
    <row r="33" spans="1:12" ht="18" customHeight="1" x14ac:dyDescent="0.15">
      <c r="A33" s="247"/>
      <c r="B33" s="248" t="s">
        <v>232</v>
      </c>
      <c r="C33" s="249" t="s">
        <v>233</v>
      </c>
      <c r="D33" s="250" t="s">
        <v>155</v>
      </c>
      <c r="E33" s="251">
        <v>140</v>
      </c>
      <c r="F33" s="246">
        <v>1384</v>
      </c>
      <c r="G33" s="246">
        <f>F33*E33</f>
        <v>193760</v>
      </c>
    </row>
    <row r="34" spans="1:12" ht="18" customHeight="1" x14ac:dyDescent="0.15">
      <c r="A34" s="247"/>
      <c r="B34" s="248" t="s">
        <v>234</v>
      </c>
      <c r="C34" s="249" t="s">
        <v>235</v>
      </c>
      <c r="D34" s="250" t="s">
        <v>155</v>
      </c>
      <c r="E34" s="251">
        <v>75</v>
      </c>
      <c r="F34" s="246">
        <v>251</v>
      </c>
      <c r="G34" s="246">
        <f>F34*E34</f>
        <v>18825</v>
      </c>
    </row>
    <row r="35" spans="1:12" ht="18" customHeight="1" x14ac:dyDescent="0.15">
      <c r="A35" s="247"/>
      <c r="B35" s="248" t="s">
        <v>236</v>
      </c>
      <c r="C35" s="249" t="s">
        <v>237</v>
      </c>
      <c r="D35" s="250" t="s">
        <v>155</v>
      </c>
      <c r="E35" s="251">
        <v>18</v>
      </c>
      <c r="F35" s="246">
        <v>466</v>
      </c>
      <c r="G35" s="246">
        <f>F35*E35</f>
        <v>8388</v>
      </c>
    </row>
    <row r="36" spans="1:12" ht="18" customHeight="1" x14ac:dyDescent="0.15">
      <c r="A36" s="247"/>
      <c r="B36" s="248" t="s">
        <v>238</v>
      </c>
      <c r="C36" s="249" t="s">
        <v>239</v>
      </c>
      <c r="D36" s="250" t="s">
        <v>155</v>
      </c>
      <c r="E36" s="251">
        <v>762</v>
      </c>
      <c r="F36" s="246">
        <v>141</v>
      </c>
      <c r="G36" s="246">
        <f>F36*E36</f>
        <v>107442</v>
      </c>
    </row>
    <row r="37" spans="1:12" ht="18" customHeight="1" x14ac:dyDescent="0.15">
      <c r="A37" s="247"/>
      <c r="B37" s="248" t="s">
        <v>240</v>
      </c>
      <c r="C37" s="249" t="s">
        <v>241</v>
      </c>
      <c r="D37" s="250" t="s">
        <v>155</v>
      </c>
      <c r="E37" s="251">
        <v>21</v>
      </c>
      <c r="F37" s="246">
        <v>104</v>
      </c>
      <c r="G37" s="246">
        <f>F37*E37</f>
        <v>2184</v>
      </c>
    </row>
    <row r="38" spans="1:12" ht="18" customHeight="1" x14ac:dyDescent="0.15">
      <c r="A38" s="252"/>
      <c r="B38" s="248" t="s">
        <v>242</v>
      </c>
      <c r="C38" s="249" t="s">
        <v>243</v>
      </c>
      <c r="D38" s="250" t="s">
        <v>155</v>
      </c>
      <c r="E38" s="251">
        <v>85</v>
      </c>
      <c r="F38" s="246">
        <v>84</v>
      </c>
      <c r="G38" s="246">
        <f>F38*E38</f>
        <v>7140</v>
      </c>
    </row>
    <row r="39" spans="1:12" ht="18" customHeight="1" x14ac:dyDescent="0.15">
      <c r="A39" s="252"/>
      <c r="B39" s="248" t="s">
        <v>244</v>
      </c>
      <c r="C39" s="249" t="s">
        <v>245</v>
      </c>
      <c r="D39" s="250" t="s">
        <v>155</v>
      </c>
      <c r="E39" s="251">
        <v>74</v>
      </c>
      <c r="F39" s="246">
        <v>50</v>
      </c>
      <c r="G39" s="246">
        <f>F39*E39</f>
        <v>3700</v>
      </c>
    </row>
    <row r="40" spans="1:12" ht="18" customHeight="1" x14ac:dyDescent="0.15">
      <c r="A40" s="72"/>
      <c r="B40" s="85"/>
      <c r="C40" s="83"/>
      <c r="D40" s="86"/>
      <c r="E40" s="88"/>
      <c r="F40" s="69"/>
      <c r="G40" s="70"/>
    </row>
    <row r="41" spans="1:12" ht="15" customHeight="1" x14ac:dyDescent="0.15">
      <c r="A41" s="77"/>
      <c r="B41" s="85"/>
      <c r="C41" s="83"/>
      <c r="D41" s="86"/>
      <c r="E41" s="87"/>
      <c r="F41" s="69"/>
      <c r="G41" s="70"/>
    </row>
    <row r="42" spans="1:12" ht="12.75" x14ac:dyDescent="0.15">
      <c r="A42" s="77"/>
      <c r="B42" s="85"/>
      <c r="C42" s="83"/>
      <c r="D42" s="86"/>
      <c r="E42" s="88"/>
      <c r="F42" s="69"/>
      <c r="G42" s="70"/>
    </row>
    <row r="43" spans="1:12" ht="35.25" x14ac:dyDescent="0.15">
      <c r="A43" s="77"/>
      <c r="B43" s="89">
        <v>2</v>
      </c>
      <c r="C43" s="90" t="s">
        <v>246</v>
      </c>
      <c r="D43" s="86"/>
      <c r="E43" s="88"/>
      <c r="F43" s="69"/>
      <c r="G43" s="70"/>
    </row>
    <row r="44" spans="1:12" ht="12.75" x14ac:dyDescent="0.15">
      <c r="A44" s="77"/>
      <c r="B44" s="85"/>
      <c r="C44" s="74"/>
      <c r="D44" s="86"/>
      <c r="E44" s="88"/>
      <c r="F44" s="69"/>
      <c r="G44" s="70"/>
    </row>
    <row r="45" spans="1:12" ht="14.25" customHeight="1" x14ac:dyDescent="0.15">
      <c r="A45" s="77"/>
      <c r="B45" s="89"/>
      <c r="C45" s="83"/>
      <c r="D45" s="86"/>
      <c r="E45" s="88"/>
      <c r="F45" s="69"/>
      <c r="G45" s="70"/>
    </row>
    <row r="46" spans="1:12" ht="13.5" x14ac:dyDescent="0.15">
      <c r="A46" s="77"/>
      <c r="B46" s="85" t="s">
        <v>247</v>
      </c>
      <c r="C46" s="83" t="s">
        <v>248</v>
      </c>
      <c r="D46" s="86" t="s">
        <v>133</v>
      </c>
      <c r="E46" s="87">
        <v>1</v>
      </c>
      <c r="F46" s="202">
        <v>10020</v>
      </c>
      <c r="G46" s="202">
        <f>F46*E46</f>
        <v>10020</v>
      </c>
    </row>
    <row r="47" spans="1:12" ht="15" customHeight="1" x14ac:dyDescent="0.15">
      <c r="A47" s="77"/>
      <c r="B47" s="85" t="s">
        <v>249</v>
      </c>
      <c r="C47" s="83" t="s">
        <v>250</v>
      </c>
      <c r="D47" s="86" t="s">
        <v>133</v>
      </c>
      <c r="E47" s="87">
        <v>1</v>
      </c>
      <c r="F47" s="202">
        <v>15531</v>
      </c>
      <c r="G47" s="202">
        <f>F47*E47</f>
        <v>15531</v>
      </c>
    </row>
    <row r="48" spans="1:12" ht="17.100000000000001" customHeight="1" x14ac:dyDescent="0.15">
      <c r="A48" s="77"/>
      <c r="B48" s="85" t="s">
        <v>251</v>
      </c>
      <c r="C48" s="83" t="s">
        <v>252</v>
      </c>
      <c r="D48" s="86" t="s">
        <v>133</v>
      </c>
      <c r="E48" s="87">
        <v>0</v>
      </c>
      <c r="F48" s="202">
        <v>9913</v>
      </c>
      <c r="G48" s="202">
        <f>F48*E48</f>
        <v>0</v>
      </c>
    </row>
    <row r="49" spans="1:8" ht="17.100000000000001" customHeight="1" x14ac:dyDescent="0.15">
      <c r="A49" s="77"/>
      <c r="B49" s="85" t="s">
        <v>253</v>
      </c>
      <c r="C49" s="83" t="s">
        <v>254</v>
      </c>
      <c r="D49" s="86" t="s">
        <v>133</v>
      </c>
      <c r="E49" s="87">
        <v>1</v>
      </c>
      <c r="F49" s="202">
        <v>3417</v>
      </c>
      <c r="G49" s="202">
        <f>F49*E49</f>
        <v>3417</v>
      </c>
    </row>
    <row r="50" spans="1:8" ht="17.100000000000001" customHeight="1" x14ac:dyDescent="0.15">
      <c r="A50" s="77"/>
      <c r="B50" s="85" t="s">
        <v>255</v>
      </c>
      <c r="C50" s="83" t="s">
        <v>256</v>
      </c>
      <c r="D50" s="86" t="s">
        <v>133</v>
      </c>
      <c r="E50" s="87">
        <v>1</v>
      </c>
      <c r="F50" s="202">
        <v>3417</v>
      </c>
      <c r="G50" s="202">
        <f>F50*E50</f>
        <v>3417</v>
      </c>
    </row>
    <row r="51" spans="1:8" ht="17.100000000000001" customHeight="1" x14ac:dyDescent="0.15">
      <c r="A51" s="77"/>
      <c r="B51" s="85" t="s">
        <v>257</v>
      </c>
      <c r="C51" s="83" t="s">
        <v>258</v>
      </c>
      <c r="D51" s="86" t="s">
        <v>133</v>
      </c>
      <c r="E51" s="87">
        <v>0</v>
      </c>
      <c r="F51" s="202">
        <v>3417</v>
      </c>
      <c r="G51" s="202">
        <f>F51*E51</f>
        <v>0</v>
      </c>
    </row>
    <row r="52" spans="1:8" ht="17.100000000000001" customHeight="1" x14ac:dyDescent="0.15">
      <c r="A52" s="77"/>
      <c r="B52" s="85" t="s">
        <v>259</v>
      </c>
      <c r="C52" s="83" t="s">
        <v>260</v>
      </c>
      <c r="D52" s="86" t="s">
        <v>133</v>
      </c>
      <c r="E52" s="87">
        <v>0</v>
      </c>
      <c r="F52" s="202">
        <v>3417</v>
      </c>
      <c r="G52" s="202">
        <f>F52*E52</f>
        <v>0</v>
      </c>
    </row>
    <row r="53" spans="1:8" ht="17.100000000000001" customHeight="1" x14ac:dyDescent="0.15">
      <c r="A53" s="77"/>
      <c r="B53" s="85" t="s">
        <v>261</v>
      </c>
      <c r="C53" s="83" t="s">
        <v>262</v>
      </c>
      <c r="D53" s="86" t="s">
        <v>133</v>
      </c>
      <c r="E53" s="87">
        <v>1</v>
      </c>
      <c r="F53" s="202">
        <v>4393</v>
      </c>
      <c r="G53" s="202">
        <f>F53*E53</f>
        <v>4393</v>
      </c>
    </row>
    <row r="54" spans="1:8" ht="17.100000000000001" customHeight="1" x14ac:dyDescent="0.15">
      <c r="A54" s="77"/>
      <c r="B54" s="85" t="s">
        <v>263</v>
      </c>
      <c r="C54" s="83" t="s">
        <v>264</v>
      </c>
      <c r="D54" s="86" t="s">
        <v>133</v>
      </c>
      <c r="E54" s="87">
        <v>1</v>
      </c>
      <c r="F54" s="202">
        <v>4393</v>
      </c>
      <c r="G54" s="202">
        <f>F54*E54</f>
        <v>4393</v>
      </c>
    </row>
    <row r="55" spans="1:8" ht="17.100000000000001" customHeight="1" x14ac:dyDescent="0.15">
      <c r="A55" s="77"/>
      <c r="B55" s="85" t="s">
        <v>265</v>
      </c>
      <c r="C55" s="83" t="s">
        <v>266</v>
      </c>
      <c r="D55" s="86" t="s">
        <v>133</v>
      </c>
      <c r="E55" s="87">
        <v>1</v>
      </c>
      <c r="F55" s="202">
        <v>4393</v>
      </c>
      <c r="G55" s="202">
        <f>F55*E55</f>
        <v>4393</v>
      </c>
    </row>
    <row r="56" spans="1:8" ht="17.100000000000001" customHeight="1" x14ac:dyDescent="0.15">
      <c r="A56" s="77"/>
      <c r="B56" s="85" t="s">
        <v>267</v>
      </c>
      <c r="C56" s="83" t="s">
        <v>268</v>
      </c>
      <c r="D56" s="86" t="s">
        <v>133</v>
      </c>
      <c r="E56" s="87">
        <v>1</v>
      </c>
      <c r="F56" s="202">
        <v>4393</v>
      </c>
      <c r="G56" s="202">
        <f>F56*E56</f>
        <v>4393</v>
      </c>
    </row>
    <row r="57" spans="1:8" ht="17.100000000000001" customHeight="1" x14ac:dyDescent="0.15">
      <c r="A57" s="77"/>
      <c r="B57" s="85" t="s">
        <v>269</v>
      </c>
      <c r="C57" s="83" t="s">
        <v>270</v>
      </c>
      <c r="D57" s="86" t="s">
        <v>133</v>
      </c>
      <c r="E57" s="87">
        <v>1</v>
      </c>
      <c r="F57" s="202">
        <v>4393</v>
      </c>
      <c r="G57" s="202">
        <f>F57*E57</f>
        <v>4393</v>
      </c>
    </row>
    <row r="58" spans="1:8" ht="17.100000000000001" customHeight="1" x14ac:dyDescent="0.15">
      <c r="A58" s="77"/>
      <c r="B58" s="85" t="s">
        <v>271</v>
      </c>
      <c r="C58" s="83" t="s">
        <v>272</v>
      </c>
      <c r="D58" s="86" t="s">
        <v>133</v>
      </c>
      <c r="E58" s="87">
        <v>1</v>
      </c>
      <c r="F58" s="202">
        <v>4393</v>
      </c>
      <c r="G58" s="202">
        <f>F58*E58</f>
        <v>4393</v>
      </c>
    </row>
    <row r="59" spans="1:8" ht="17.100000000000001" customHeight="1" x14ac:dyDescent="0.15">
      <c r="A59" s="77"/>
      <c r="B59" s="85" t="s">
        <v>273</v>
      </c>
      <c r="C59" s="83" t="s">
        <v>274</v>
      </c>
      <c r="D59" s="86" t="s">
        <v>133</v>
      </c>
      <c r="E59" s="87">
        <v>1</v>
      </c>
      <c r="F59" s="202">
        <v>4393</v>
      </c>
      <c r="G59" s="202">
        <f>F59*E59</f>
        <v>4393</v>
      </c>
    </row>
    <row r="60" spans="1:8" ht="17.100000000000001" customHeight="1" x14ac:dyDescent="0.15">
      <c r="A60" s="77"/>
      <c r="B60" s="85" t="s">
        <v>275</v>
      </c>
      <c r="C60" s="83" t="s">
        <v>276</v>
      </c>
      <c r="D60" s="86" t="s">
        <v>133</v>
      </c>
      <c r="E60" s="87">
        <v>1</v>
      </c>
      <c r="F60" s="202">
        <v>4393</v>
      </c>
      <c r="G60" s="202">
        <f>F60*E60</f>
        <v>4393</v>
      </c>
    </row>
    <row r="61" spans="1:8" ht="17.100000000000001" customHeight="1" x14ac:dyDescent="0.15">
      <c r="A61" s="77"/>
      <c r="B61" s="85" t="s">
        <v>277</v>
      </c>
      <c r="C61" s="83" t="s">
        <v>278</v>
      </c>
      <c r="D61" s="86" t="s">
        <v>133</v>
      </c>
      <c r="E61" s="87">
        <v>1</v>
      </c>
      <c r="F61" s="202">
        <v>4393</v>
      </c>
      <c r="G61" s="202">
        <f>F61*E61</f>
        <v>4393</v>
      </c>
    </row>
    <row r="62" spans="1:8" ht="17.100000000000001" customHeight="1" x14ac:dyDescent="0.15">
      <c r="A62" s="77"/>
      <c r="B62" s="85" t="s">
        <v>279</v>
      </c>
      <c r="C62" s="83" t="s">
        <v>280</v>
      </c>
      <c r="D62" s="86" t="s">
        <v>133</v>
      </c>
      <c r="E62" s="87">
        <v>1</v>
      </c>
      <c r="F62" s="202">
        <v>4393</v>
      </c>
      <c r="G62" s="202">
        <f>F62*E62</f>
        <v>4393</v>
      </c>
    </row>
    <row r="63" spans="1:8" ht="17.100000000000001" customHeight="1" x14ac:dyDescent="0.15">
      <c r="A63" s="77"/>
      <c r="B63" s="85" t="s">
        <v>281</v>
      </c>
      <c r="C63" s="83" t="s">
        <v>282</v>
      </c>
      <c r="D63" s="86" t="s">
        <v>133</v>
      </c>
      <c r="E63" s="87">
        <v>1</v>
      </c>
      <c r="F63" s="202">
        <v>4393</v>
      </c>
      <c r="G63" s="202">
        <f>F63*E63</f>
        <v>4393</v>
      </c>
    </row>
    <row r="64" spans="1:8" ht="15" customHeight="1" x14ac:dyDescent="0.15">
      <c r="A64" s="77"/>
      <c r="B64" s="85" t="s">
        <v>283</v>
      </c>
      <c r="C64" s="83" t="s">
        <v>284</v>
      </c>
      <c r="D64" s="86" t="s">
        <v>133</v>
      </c>
      <c r="E64" s="87">
        <v>1</v>
      </c>
      <c r="F64" s="202">
        <v>4393</v>
      </c>
      <c r="G64" s="202">
        <f>F64*E64</f>
        <v>4393</v>
      </c>
    </row>
    <row r="65" spans="1:8" ht="15" customHeight="1" x14ac:dyDescent="0.15">
      <c r="A65" s="77"/>
      <c r="B65" s="85" t="s">
        <v>285</v>
      </c>
      <c r="C65" s="83" t="s">
        <v>286</v>
      </c>
      <c r="D65" s="86" t="s">
        <v>133</v>
      </c>
      <c r="E65" s="87">
        <v>1</v>
      </c>
      <c r="F65" s="202">
        <v>4393</v>
      </c>
      <c r="G65" s="202">
        <f>F65*E65</f>
        <v>4393</v>
      </c>
    </row>
    <row r="66" spans="1:8" ht="15" customHeight="1" x14ac:dyDescent="0.15">
      <c r="A66" s="77"/>
      <c r="B66" s="85" t="s">
        <v>287</v>
      </c>
      <c r="C66" s="83" t="s">
        <v>288</v>
      </c>
      <c r="D66" s="86" t="s">
        <v>133</v>
      </c>
      <c r="E66" s="87">
        <v>1</v>
      </c>
      <c r="F66" s="202">
        <v>4393</v>
      </c>
      <c r="G66" s="202">
        <f>F66*E66</f>
        <v>4393</v>
      </c>
    </row>
    <row r="67" spans="1:8" ht="15" customHeight="1" x14ac:dyDescent="0.15">
      <c r="A67" s="77"/>
      <c r="B67" s="85" t="s">
        <v>289</v>
      </c>
      <c r="C67" s="83" t="s">
        <v>290</v>
      </c>
      <c r="D67" s="86" t="s">
        <v>133</v>
      </c>
      <c r="E67" s="87">
        <v>0</v>
      </c>
      <c r="F67" s="202">
        <v>4393</v>
      </c>
      <c r="G67" s="202">
        <f>F67*E67</f>
        <v>0</v>
      </c>
    </row>
    <row r="68" spans="1:8" ht="15" customHeight="1" x14ac:dyDescent="0.15">
      <c r="A68" s="77"/>
      <c r="B68" s="85" t="s">
        <v>291</v>
      </c>
      <c r="C68" s="83" t="s">
        <v>292</v>
      </c>
      <c r="D68" s="86" t="s">
        <v>133</v>
      </c>
      <c r="E68" s="87">
        <v>0</v>
      </c>
      <c r="F68" s="202">
        <v>4393</v>
      </c>
      <c r="G68" s="202">
        <f>F68*E68</f>
        <v>0</v>
      </c>
    </row>
    <row r="69" spans="1:8" ht="13.5" x14ac:dyDescent="0.15">
      <c r="A69" s="77"/>
      <c r="B69" s="85" t="s">
        <v>293</v>
      </c>
      <c r="C69" s="83" t="s">
        <v>294</v>
      </c>
      <c r="D69" s="86" t="s">
        <v>133</v>
      </c>
      <c r="E69" s="87">
        <v>0</v>
      </c>
      <c r="F69" s="202">
        <v>4393</v>
      </c>
      <c r="G69" s="202">
        <f>F69*E69</f>
        <v>0</v>
      </c>
    </row>
    <row r="70" spans="1:8" ht="13.5" x14ac:dyDescent="0.15">
      <c r="A70" s="77"/>
      <c r="B70" s="85" t="s">
        <v>295</v>
      </c>
      <c r="C70" s="83" t="s">
        <v>296</v>
      </c>
      <c r="D70" s="86" t="s">
        <v>133</v>
      </c>
      <c r="E70" s="87">
        <v>0</v>
      </c>
      <c r="F70" s="202">
        <v>4393</v>
      </c>
      <c r="G70" s="202">
        <f>F70*E70</f>
        <v>0</v>
      </c>
    </row>
    <row r="71" spans="1:8" ht="13.5" x14ac:dyDescent="0.15">
      <c r="A71" s="77"/>
      <c r="B71" s="85" t="s">
        <v>297</v>
      </c>
      <c r="C71" s="83" t="s">
        <v>298</v>
      </c>
      <c r="D71" s="86" t="s">
        <v>133</v>
      </c>
      <c r="E71" s="87">
        <v>0</v>
      </c>
      <c r="F71" s="202">
        <v>4393</v>
      </c>
      <c r="G71" s="202">
        <f>F71*E71</f>
        <v>0</v>
      </c>
    </row>
    <row r="72" spans="1:8" ht="13.5" x14ac:dyDescent="0.15">
      <c r="A72" s="77"/>
      <c r="B72" s="85" t="s">
        <v>299</v>
      </c>
      <c r="C72" s="83" t="s">
        <v>300</v>
      </c>
      <c r="D72" s="86" t="s">
        <v>133</v>
      </c>
      <c r="E72" s="87">
        <v>0</v>
      </c>
      <c r="F72" s="202">
        <v>4393</v>
      </c>
      <c r="G72" s="202">
        <f>F72*E72</f>
        <v>0</v>
      </c>
    </row>
    <row r="73" spans="1:8" ht="13.5" x14ac:dyDescent="0.15">
      <c r="A73" s="77"/>
      <c r="B73" s="85" t="s">
        <v>301</v>
      </c>
      <c r="C73" s="83" t="s">
        <v>302</v>
      </c>
      <c r="D73" s="86" t="s">
        <v>133</v>
      </c>
      <c r="E73" s="87">
        <v>0</v>
      </c>
      <c r="F73" s="202">
        <v>4393</v>
      </c>
      <c r="G73" s="202">
        <f>F73*E73</f>
        <v>0</v>
      </c>
    </row>
    <row r="74" spans="1:8" ht="13.5" x14ac:dyDescent="0.15">
      <c r="A74" s="77"/>
      <c r="B74" s="85" t="s">
        <v>303</v>
      </c>
      <c r="C74" s="83" t="s">
        <v>304</v>
      </c>
      <c r="D74" s="86" t="s">
        <v>133</v>
      </c>
      <c r="E74" s="87">
        <v>0</v>
      </c>
      <c r="F74" s="202">
        <v>4393</v>
      </c>
      <c r="G74" s="202">
        <f>F74*E74</f>
        <v>0</v>
      </c>
    </row>
    <row r="75" spans="1:8" ht="13.5" x14ac:dyDescent="0.15">
      <c r="A75" s="77"/>
      <c r="B75" s="85" t="s">
        <v>305</v>
      </c>
      <c r="C75" s="83" t="s">
        <v>306</v>
      </c>
      <c r="D75" s="86" t="s">
        <v>133</v>
      </c>
      <c r="E75" s="87">
        <v>0</v>
      </c>
      <c r="F75" s="202">
        <v>4393</v>
      </c>
      <c r="G75" s="202">
        <f>F75*E75</f>
        <v>0</v>
      </c>
    </row>
    <row r="76" spans="1:8" ht="15" customHeight="1" x14ac:dyDescent="0.15">
      <c r="A76" s="77"/>
      <c r="B76" s="85" t="s">
        <v>307</v>
      </c>
      <c r="C76" s="83" t="s">
        <v>308</v>
      </c>
      <c r="D76" s="86" t="s">
        <v>133</v>
      </c>
      <c r="E76" s="87">
        <v>0</v>
      </c>
      <c r="F76" s="202">
        <v>4393</v>
      </c>
      <c r="G76" s="202">
        <f>F76*E76</f>
        <v>0</v>
      </c>
    </row>
    <row r="77" spans="1:8" ht="13.5" x14ac:dyDescent="0.15">
      <c r="A77" s="77"/>
      <c r="B77" s="85" t="s">
        <v>309</v>
      </c>
      <c r="C77" s="83" t="s">
        <v>310</v>
      </c>
      <c r="D77" s="86" t="s">
        <v>133</v>
      </c>
      <c r="E77" s="87">
        <v>0</v>
      </c>
      <c r="F77" s="202">
        <v>4393</v>
      </c>
      <c r="G77" s="202">
        <f>F77*E77</f>
        <v>0</v>
      </c>
    </row>
    <row r="78" spans="1:8" ht="13.5" x14ac:dyDescent="0.15">
      <c r="A78" s="77"/>
      <c r="B78" s="85" t="s">
        <v>311</v>
      </c>
      <c r="C78" s="83" t="s">
        <v>312</v>
      </c>
      <c r="D78" s="86" t="s">
        <v>133</v>
      </c>
      <c r="E78" s="87">
        <v>0</v>
      </c>
      <c r="F78" s="202">
        <v>4393</v>
      </c>
      <c r="G78" s="202">
        <f>F78*E78</f>
        <v>0</v>
      </c>
    </row>
    <row r="79" spans="1:8" ht="13.5" x14ac:dyDescent="0.15">
      <c r="A79" s="77"/>
      <c r="B79" s="85" t="s">
        <v>313</v>
      </c>
      <c r="C79" s="83" t="s">
        <v>314</v>
      </c>
      <c r="D79" s="86" t="s">
        <v>133</v>
      </c>
      <c r="E79" s="87">
        <v>0</v>
      </c>
      <c r="F79" s="202">
        <v>4393</v>
      </c>
      <c r="G79" s="202">
        <f>F79*E79</f>
        <v>0</v>
      </c>
    </row>
    <row r="80" spans="1:8" ht="13.5" x14ac:dyDescent="0.15">
      <c r="A80" s="77"/>
      <c r="B80" s="85" t="s">
        <v>315</v>
      </c>
      <c r="C80" s="83" t="s">
        <v>316</v>
      </c>
      <c r="D80" s="86" t="s">
        <v>133</v>
      </c>
      <c r="E80" s="87">
        <v>0</v>
      </c>
      <c r="F80" s="202">
        <v>4393</v>
      </c>
      <c r="G80" s="202">
        <f>F80*E80</f>
        <v>0</v>
      </c>
    </row>
    <row r="81" spans="1:8" ht="15" customHeight="1" x14ac:dyDescent="0.15">
      <c r="A81" s="77"/>
      <c r="B81" s="85" t="s">
        <v>317</v>
      </c>
      <c r="C81" s="83" t="s">
        <v>318</v>
      </c>
      <c r="D81" s="86" t="s">
        <v>133</v>
      </c>
      <c r="E81" s="87">
        <v>0</v>
      </c>
      <c r="F81" s="202">
        <v>4393</v>
      </c>
      <c r="G81" s="202">
        <f>F81*E81</f>
        <v>0</v>
      </c>
    </row>
    <row r="82" spans="1:8" ht="13.5" x14ac:dyDescent="0.15">
      <c r="A82" s="77"/>
      <c r="B82" s="85" t="s">
        <v>319</v>
      </c>
      <c r="C82" s="83" t="s">
        <v>320</v>
      </c>
      <c r="D82" s="86" t="s">
        <v>133</v>
      </c>
      <c r="E82" s="87">
        <v>0</v>
      </c>
      <c r="F82" s="202">
        <v>4393</v>
      </c>
      <c r="G82" s="202">
        <f>F82*E82</f>
        <v>0</v>
      </c>
    </row>
    <row r="83" spans="1:8" ht="13.5" x14ac:dyDescent="0.15">
      <c r="A83" s="77"/>
      <c r="B83" s="85" t="s">
        <v>321</v>
      </c>
      <c r="C83" s="83" t="s">
        <v>322</v>
      </c>
      <c r="D83" s="86" t="s">
        <v>133</v>
      </c>
      <c r="E83" s="87">
        <v>0</v>
      </c>
      <c r="F83" s="202">
        <v>4393</v>
      </c>
      <c r="G83" s="202">
        <f>F83*E83</f>
        <v>0</v>
      </c>
    </row>
    <row r="84" spans="1:8" ht="13.5" x14ac:dyDescent="0.15">
      <c r="A84" s="77"/>
      <c r="B84" s="85" t="s">
        <v>323</v>
      </c>
      <c r="C84" s="83" t="s">
        <v>324</v>
      </c>
      <c r="D84" s="86" t="s">
        <v>133</v>
      </c>
      <c r="E84" s="87">
        <v>0</v>
      </c>
      <c r="F84" s="202">
        <v>4393</v>
      </c>
      <c r="G84" s="202">
        <f>F84*E84</f>
        <v>0</v>
      </c>
    </row>
    <row r="85" spans="1:8" ht="13.5" x14ac:dyDescent="0.15">
      <c r="A85" s="77"/>
      <c r="B85" s="85" t="s">
        <v>325</v>
      </c>
      <c r="C85" s="83" t="s">
        <v>326</v>
      </c>
      <c r="D85" s="86" t="s">
        <v>133</v>
      </c>
      <c r="E85" s="87">
        <v>0</v>
      </c>
      <c r="F85" s="202">
        <v>4393</v>
      </c>
      <c r="G85" s="202">
        <f>F85*E85</f>
        <v>0</v>
      </c>
    </row>
    <row r="86" spans="1:8" ht="13.5" x14ac:dyDescent="0.15">
      <c r="A86" s="77"/>
      <c r="B86" s="85" t="s">
        <v>327</v>
      </c>
      <c r="C86" s="83" t="s">
        <v>328</v>
      </c>
      <c r="D86" s="86" t="s">
        <v>133</v>
      </c>
      <c r="E86" s="87">
        <v>0</v>
      </c>
      <c r="F86" s="202">
        <v>4393</v>
      </c>
      <c r="G86" s="202">
        <f>F86*E86</f>
        <v>0</v>
      </c>
    </row>
    <row r="87" spans="1:8" ht="13.5" x14ac:dyDescent="0.15">
      <c r="A87" s="77"/>
      <c r="B87" s="85" t="s">
        <v>329</v>
      </c>
      <c r="C87" s="83" t="s">
        <v>330</v>
      </c>
      <c r="D87" s="86" t="s">
        <v>133</v>
      </c>
      <c r="E87" s="87">
        <v>0</v>
      </c>
      <c r="F87" s="202">
        <v>4393</v>
      </c>
      <c r="G87" s="202">
        <f>F87*E87</f>
        <v>0</v>
      </c>
    </row>
    <row r="88" spans="1:8" ht="13.5" x14ac:dyDescent="0.15">
      <c r="A88" s="77"/>
      <c r="B88" s="85" t="s">
        <v>331</v>
      </c>
      <c r="C88" s="83" t="s">
        <v>332</v>
      </c>
      <c r="D88" s="86" t="s">
        <v>133</v>
      </c>
      <c r="E88" s="87">
        <v>0</v>
      </c>
      <c r="F88" s="202">
        <v>4393</v>
      </c>
      <c r="G88" s="202">
        <f>F88*E88</f>
        <v>0</v>
      </c>
    </row>
    <row r="89" spans="1:8" ht="13.5" x14ac:dyDescent="0.15">
      <c r="A89" s="77"/>
      <c r="B89" s="85" t="s">
        <v>333</v>
      </c>
      <c r="C89" s="83" t="s">
        <v>334</v>
      </c>
      <c r="D89" s="86" t="s">
        <v>133</v>
      </c>
      <c r="E89" s="87">
        <v>0</v>
      </c>
      <c r="F89" s="202">
        <v>4393</v>
      </c>
      <c r="G89" s="202">
        <f>F89*E89</f>
        <v>0</v>
      </c>
    </row>
    <row r="90" spans="1:8" ht="13.5" x14ac:dyDescent="0.15">
      <c r="A90" s="77"/>
      <c r="B90" s="85" t="s">
        <v>335</v>
      </c>
      <c r="C90" s="83" t="s">
        <v>336</v>
      </c>
      <c r="D90" s="86" t="s">
        <v>133</v>
      </c>
      <c r="E90" s="87">
        <v>0</v>
      </c>
      <c r="F90" s="202">
        <v>4393</v>
      </c>
      <c r="G90" s="202">
        <f>F90*E90</f>
        <v>0</v>
      </c>
    </row>
    <row r="91" spans="1:8" ht="12.75" x14ac:dyDescent="0.15">
      <c r="A91" s="77"/>
      <c r="B91" s="85"/>
      <c r="C91" s="83"/>
      <c r="D91" s="86"/>
      <c r="E91" s="87"/>
      <c r="F91" s="69"/>
      <c r="G91" s="70"/>
    </row>
    <row r="92" spans="1:8" ht="12.75" x14ac:dyDescent="0.15">
      <c r="A92" s="77"/>
      <c r="B92" s="92" t="s">
        <v>337</v>
      </c>
      <c r="C92" s="93" t="s">
        <v>338</v>
      </c>
      <c r="D92" s="94"/>
      <c r="E92" s="88"/>
      <c r="F92" s="69"/>
      <c r="G92" s="70"/>
    </row>
    <row r="93" spans="1:8" ht="12.75" x14ac:dyDescent="0.15">
      <c r="A93" s="77"/>
      <c r="B93" s="85"/>
      <c r="C93" s="93" t="s">
        <v>339</v>
      </c>
      <c r="D93" s="94"/>
      <c r="E93" s="88"/>
      <c r="F93" s="69"/>
      <c r="G93" s="70"/>
    </row>
    <row r="94" spans="1:8" ht="12.75" x14ac:dyDescent="0.15">
      <c r="A94" s="77"/>
      <c r="B94" s="95"/>
      <c r="C94" s="93" t="s">
        <v>340</v>
      </c>
      <c r="D94" s="94"/>
      <c r="E94" s="88"/>
      <c r="F94" s="69"/>
      <c r="G94" s="70"/>
    </row>
    <row r="95" spans="1:8" ht="12.75" x14ac:dyDescent="0.15">
      <c r="A95" s="77"/>
      <c r="B95" s="96"/>
      <c r="C95" s="93" t="s">
        <v>341</v>
      </c>
      <c r="D95" s="97"/>
      <c r="E95" s="88"/>
      <c r="F95" s="69"/>
      <c r="G95" s="70"/>
    </row>
    <row r="96" spans="1:8" ht="12.75" x14ac:dyDescent="0.15">
      <c r="A96" s="77"/>
      <c r="B96" s="96"/>
      <c r="C96" s="93" t="s">
        <v>342</v>
      </c>
      <c r="D96" s="97"/>
      <c r="E96" s="88"/>
      <c r="F96" s="69"/>
      <c r="G96" s="70"/>
    </row>
    <row r="97" spans="1:8" ht="12.75" x14ac:dyDescent="0.15">
      <c r="A97" s="98"/>
      <c r="B97" s="99"/>
      <c r="C97" s="93" t="s">
        <v>343</v>
      </c>
      <c r="D97" s="97"/>
      <c r="E97" s="88"/>
      <c r="F97" s="219"/>
      <c r="G97" s="220"/>
    </row>
    <row r="98" spans="1:8" ht="15" customHeight="1" x14ac:dyDescent="0.15">
      <c r="A98" s="98"/>
      <c r="B98" s="99"/>
      <c r="C98" s="74" t="s">
        <v>344</v>
      </c>
      <c r="D98" s="94"/>
      <c r="E98" s="88"/>
      <c r="F98" s="219"/>
      <c r="G98" s="220"/>
    </row>
    <row r="99" spans="1:8" ht="22.5" customHeight="1" x14ac:dyDescent="0.15">
      <c r="A99" s="98"/>
      <c r="B99" s="99"/>
      <c r="C99" s="93" t="s">
        <v>345</v>
      </c>
      <c r="D99" s="94"/>
      <c r="E99" s="88"/>
      <c r="F99" s="219"/>
      <c r="G99" s="220"/>
    </row>
    <row r="100" spans="1:8" ht="15" customHeight="1" x14ac:dyDescent="0.15">
      <c r="A100" s="98"/>
      <c r="B100" s="96"/>
      <c r="C100" s="74"/>
      <c r="D100" s="100"/>
      <c r="E100" s="88"/>
      <c r="F100" s="219"/>
      <c r="G100" s="220"/>
    </row>
    <row r="101" spans="1:8" ht="29.25" customHeight="1" x14ac:dyDescent="0.15">
      <c r="A101" s="98"/>
      <c r="B101" s="101" t="s">
        <v>346</v>
      </c>
      <c r="C101" s="102" t="s">
        <v>347</v>
      </c>
      <c r="D101" s="75" t="s">
        <v>348</v>
      </c>
      <c r="E101" s="87">
        <v>2</v>
      </c>
      <c r="F101" s="202">
        <v>3417</v>
      </c>
      <c r="G101" s="202">
        <f>F101*E101</f>
        <v>6834</v>
      </c>
    </row>
    <row r="102" spans="1:8" ht="29.25" customHeight="1" x14ac:dyDescent="0.15">
      <c r="A102" s="98"/>
      <c r="B102" s="85" t="s">
        <v>349</v>
      </c>
      <c r="C102" s="102" t="s">
        <v>350</v>
      </c>
      <c r="D102" s="75" t="s">
        <v>348</v>
      </c>
      <c r="E102" s="87">
        <v>2</v>
      </c>
      <c r="F102" s="202">
        <v>3417</v>
      </c>
      <c r="G102" s="202">
        <f>F102*E102</f>
        <v>6834</v>
      </c>
    </row>
    <row r="103" spans="1:8" ht="15.75" customHeight="1" x14ac:dyDescent="0.15">
      <c r="A103" s="98"/>
      <c r="B103" s="85" t="s">
        <v>351</v>
      </c>
      <c r="C103" s="102" t="s">
        <v>352</v>
      </c>
      <c r="D103" s="75" t="s">
        <v>348</v>
      </c>
      <c r="E103" s="87">
        <v>2</v>
      </c>
      <c r="F103" s="202">
        <v>2440</v>
      </c>
      <c r="G103" s="202">
        <f>F103*E103</f>
        <v>4880</v>
      </c>
    </row>
    <row r="104" spans="1:8" ht="33.75" customHeight="1" x14ac:dyDescent="0.15">
      <c r="A104" s="98"/>
      <c r="B104" s="85" t="s">
        <v>353</v>
      </c>
      <c r="C104" s="102" t="s">
        <v>354</v>
      </c>
      <c r="D104" s="75" t="s">
        <v>348</v>
      </c>
      <c r="E104" s="87">
        <v>0</v>
      </c>
      <c r="F104" s="202">
        <v>1952</v>
      </c>
      <c r="G104" s="202">
        <f>F104*E104</f>
        <v>0</v>
      </c>
    </row>
    <row r="105" spans="1:8" ht="34.5" customHeight="1" x14ac:dyDescent="0.15">
      <c r="A105" s="98"/>
      <c r="B105" s="85" t="s">
        <v>355</v>
      </c>
      <c r="C105" s="102" t="s">
        <v>356</v>
      </c>
      <c r="D105" s="75" t="s">
        <v>348</v>
      </c>
      <c r="E105" s="87">
        <v>5</v>
      </c>
      <c r="F105" s="202">
        <v>2441</v>
      </c>
      <c r="G105" s="202">
        <f>F105*E105</f>
        <v>12205</v>
      </c>
    </row>
    <row r="106" spans="1:8" ht="22.5" customHeight="1" x14ac:dyDescent="0.15">
      <c r="A106" s="72"/>
      <c r="B106" s="114" t="s">
        <v>142</v>
      </c>
      <c r="C106" s="108" t="s">
        <v>357</v>
      </c>
      <c r="D106" s="86"/>
      <c r="E106" s="88"/>
      <c r="F106" s="202"/>
      <c r="G106" s="202"/>
    </row>
    <row r="107" spans="1:8" ht="12.75" x14ac:dyDescent="0.15">
      <c r="A107" s="77"/>
      <c r="B107" s="106"/>
      <c r="C107" s="83"/>
      <c r="D107" s="86"/>
      <c r="E107" s="88"/>
      <c r="F107" s="69"/>
      <c r="G107" s="70"/>
    </row>
    <row r="108" spans="1:8" ht="46.5" x14ac:dyDescent="0.15">
      <c r="A108" s="77"/>
      <c r="B108" s="89" t="s">
        <v>358</v>
      </c>
      <c r="C108" s="90" t="s">
        <v>359</v>
      </c>
      <c r="D108" s="86"/>
      <c r="E108" s="88"/>
      <c r="F108" s="69"/>
      <c r="G108" s="70"/>
    </row>
    <row r="109" spans="1:8" ht="34.5" customHeight="1" x14ac:dyDescent="0.15">
      <c r="A109" s="77"/>
      <c r="B109" s="85"/>
      <c r="C109" s="83"/>
      <c r="D109" s="86"/>
      <c r="E109" s="88"/>
      <c r="F109" s="69"/>
      <c r="G109" s="70"/>
    </row>
    <row r="110" spans="1:8" ht="29.25" customHeight="1" x14ac:dyDescent="0.15">
      <c r="A110" s="72"/>
      <c r="B110" s="85" t="s">
        <v>232</v>
      </c>
      <c r="C110" s="84" t="s">
        <v>360</v>
      </c>
      <c r="D110" s="86" t="s">
        <v>348</v>
      </c>
      <c r="E110" s="87">
        <v>1</v>
      </c>
      <c r="F110" s="202">
        <v>840</v>
      </c>
      <c r="G110" s="202">
        <f>F110*E110</f>
        <v>840</v>
      </c>
    </row>
    <row r="111" spans="1:8" ht="16.5" customHeight="1" x14ac:dyDescent="0.15">
      <c r="A111" s="72"/>
      <c r="B111" s="85"/>
      <c r="C111" s="80"/>
      <c r="D111" s="86"/>
      <c r="E111" s="87"/>
      <c r="F111" s="69"/>
      <c r="G111" s="70"/>
    </row>
    <row r="112" spans="1:8" ht="32.25" customHeight="1" x14ac:dyDescent="0.15">
      <c r="A112" s="77"/>
      <c r="B112" s="85" t="s">
        <v>234</v>
      </c>
      <c r="C112" s="84" t="s">
        <v>361</v>
      </c>
      <c r="D112" s="75" t="s">
        <v>348</v>
      </c>
      <c r="E112" s="87">
        <v>1</v>
      </c>
      <c r="F112" s="202">
        <v>615</v>
      </c>
      <c r="G112" s="202">
        <f>F112*E112</f>
        <v>615</v>
      </c>
    </row>
    <row r="113" spans="1:8" ht="32.25" customHeight="1" x14ac:dyDescent="0.15">
      <c r="A113" s="77"/>
      <c r="B113" s="73" t="s">
        <v>236</v>
      </c>
      <c r="C113" s="80" t="s">
        <v>362</v>
      </c>
      <c r="D113" s="75" t="s">
        <v>348</v>
      </c>
      <c r="E113" s="87">
        <v>1</v>
      </c>
      <c r="F113" s="202">
        <v>2441</v>
      </c>
      <c r="G113" s="202">
        <f>F113*E113</f>
        <v>2441</v>
      </c>
    </row>
    <row r="114" spans="1:8" ht="27.75" customHeight="1" x14ac:dyDescent="0.15">
      <c r="A114" s="77"/>
      <c r="B114" s="73"/>
      <c r="C114" s="80"/>
      <c r="D114" s="75"/>
      <c r="E114" s="87"/>
      <c r="F114" s="69"/>
      <c r="G114" s="70"/>
    </row>
    <row r="115" spans="1:8" ht="24" x14ac:dyDescent="0.15">
      <c r="A115" s="77"/>
      <c r="B115" s="73" t="s">
        <v>238</v>
      </c>
      <c r="C115" s="80" t="s">
        <v>363</v>
      </c>
      <c r="D115" s="75" t="s">
        <v>348</v>
      </c>
      <c r="E115" s="87">
        <v>2</v>
      </c>
      <c r="F115" s="202">
        <v>635</v>
      </c>
      <c r="G115" s="202">
        <f>F115*E115</f>
        <v>1270</v>
      </c>
    </row>
    <row r="116" spans="1:8" ht="12.75" x14ac:dyDescent="0.15">
      <c r="A116" s="77"/>
      <c r="B116" s="73"/>
      <c r="C116" s="80"/>
      <c r="D116" s="75"/>
      <c r="E116" s="87"/>
      <c r="F116" s="69"/>
      <c r="G116" s="70"/>
    </row>
    <row r="117" spans="1:8" ht="12.75" customHeight="1" x14ac:dyDescent="0.15">
      <c r="A117" s="77"/>
      <c r="B117" s="73"/>
      <c r="C117" s="78"/>
      <c r="D117" s="75"/>
      <c r="E117" s="87"/>
      <c r="F117" s="69"/>
      <c r="G117" s="70"/>
    </row>
    <row r="118" spans="1:8" ht="12.75" customHeight="1" x14ac:dyDescent="0.15">
      <c r="A118" s="77"/>
      <c r="B118" s="73"/>
      <c r="C118" s="78"/>
      <c r="D118" s="75"/>
      <c r="E118" s="87"/>
      <c r="F118" s="69"/>
      <c r="G118" s="70"/>
    </row>
    <row r="119" spans="1:8" ht="12.75" customHeight="1" x14ac:dyDescent="0.15">
      <c r="A119" s="77"/>
      <c r="B119" s="73"/>
      <c r="C119" s="78"/>
      <c r="D119" s="75"/>
      <c r="E119" s="87"/>
      <c r="F119" s="69"/>
      <c r="G119" s="70"/>
    </row>
    <row r="120" spans="1:8" ht="12.75" customHeight="1" x14ac:dyDescent="0.15">
      <c r="A120" s="77"/>
      <c r="B120" s="104" t="s">
        <v>364</v>
      </c>
      <c r="C120" s="105" t="s">
        <v>365</v>
      </c>
      <c r="D120" s="97"/>
      <c r="E120" s="88"/>
      <c r="F120" s="69"/>
      <c r="G120" s="70"/>
    </row>
    <row r="121" spans="1:8" ht="12.75" customHeight="1" x14ac:dyDescent="0.15">
      <c r="A121" s="77"/>
      <c r="B121" s="85"/>
      <c r="C121" s="105" t="s">
        <v>366</v>
      </c>
      <c r="D121" s="97"/>
      <c r="E121" s="88"/>
      <c r="F121" s="69"/>
      <c r="G121" s="70"/>
    </row>
    <row r="122" spans="1:8" ht="12.75" customHeight="1" x14ac:dyDescent="0.15">
      <c r="A122" s="77"/>
      <c r="B122" s="104"/>
      <c r="C122" s="105" t="s">
        <v>367</v>
      </c>
      <c r="D122" s="97"/>
      <c r="E122" s="88"/>
      <c r="F122" s="69"/>
      <c r="G122" s="70"/>
    </row>
    <row r="123" spans="1:8" ht="12.75" customHeight="1" x14ac:dyDescent="0.15">
      <c r="A123" s="77"/>
      <c r="B123" s="99"/>
      <c r="C123" s="74" t="s">
        <v>368</v>
      </c>
      <c r="D123" s="97"/>
      <c r="E123" s="88"/>
      <c r="F123" s="69"/>
      <c r="G123" s="70"/>
    </row>
    <row r="124" spans="1:8" ht="12.75" x14ac:dyDescent="0.15">
      <c r="A124" s="77"/>
      <c r="B124" s="99"/>
      <c r="C124" s="105"/>
      <c r="D124" s="106"/>
      <c r="E124" s="88"/>
      <c r="F124" s="69"/>
      <c r="G124" s="70"/>
    </row>
    <row r="125" spans="1:8" ht="15" customHeight="1" x14ac:dyDescent="0.15">
      <c r="A125" s="77"/>
      <c r="B125" s="106"/>
      <c r="C125" s="74"/>
      <c r="D125" s="86"/>
      <c r="E125" s="88"/>
      <c r="F125" s="69"/>
      <c r="G125" s="70"/>
    </row>
    <row r="126" spans="1:8" ht="15" customHeight="1" x14ac:dyDescent="0.15">
      <c r="A126" s="77"/>
      <c r="B126" s="96" t="s">
        <v>247</v>
      </c>
      <c r="C126" s="107" t="s">
        <v>369</v>
      </c>
      <c r="D126" s="86" t="s">
        <v>155</v>
      </c>
      <c r="E126" s="87">
        <v>715</v>
      </c>
      <c r="F126" s="202">
        <v>87</v>
      </c>
      <c r="G126" s="202">
        <f>F126*E126</f>
        <v>62205</v>
      </c>
    </row>
    <row r="127" spans="1:8" ht="13.5" x14ac:dyDescent="0.15">
      <c r="A127" s="77"/>
      <c r="B127" s="89"/>
      <c r="C127" s="83"/>
      <c r="D127" s="86"/>
      <c r="E127" s="87"/>
      <c r="F127" s="202"/>
      <c r="G127" s="202"/>
    </row>
    <row r="128" spans="1:8" ht="13.5" x14ac:dyDescent="0.15">
      <c r="A128" s="77"/>
      <c r="B128" s="85" t="s">
        <v>249</v>
      </c>
      <c r="C128" s="107" t="s">
        <v>370</v>
      </c>
      <c r="D128" s="86" t="s">
        <v>155</v>
      </c>
      <c r="E128" s="87">
        <v>385</v>
      </c>
      <c r="F128" s="202">
        <v>59</v>
      </c>
      <c r="G128" s="202">
        <f>F128*E128</f>
        <v>22715</v>
      </c>
    </row>
    <row r="129" spans="1:8" ht="13.5" x14ac:dyDescent="0.15">
      <c r="A129" s="77"/>
      <c r="B129" s="85"/>
      <c r="C129" s="83"/>
      <c r="D129" s="86"/>
      <c r="E129" s="87"/>
      <c r="F129" s="202"/>
      <c r="G129" s="202"/>
    </row>
    <row r="130" spans="1:8" ht="15" customHeight="1" x14ac:dyDescent="0.15">
      <c r="A130" s="77"/>
      <c r="B130" s="85" t="s">
        <v>251</v>
      </c>
      <c r="C130" s="107" t="s">
        <v>371</v>
      </c>
      <c r="D130" s="86" t="s">
        <v>155</v>
      </c>
      <c r="E130" s="87">
        <v>95</v>
      </c>
      <c r="F130" s="202">
        <v>49</v>
      </c>
      <c r="G130" s="202">
        <f>F130*E130</f>
        <v>4655</v>
      </c>
    </row>
    <row r="131" spans="1:8" ht="15" customHeight="1" x14ac:dyDescent="0.15">
      <c r="A131" s="77"/>
      <c r="B131" s="85"/>
      <c r="C131" s="83"/>
      <c r="D131" s="86"/>
      <c r="E131" s="87"/>
      <c r="F131" s="69"/>
      <c r="G131" s="70"/>
    </row>
    <row r="132" spans="1:8" ht="15" customHeight="1" x14ac:dyDescent="0.15">
      <c r="A132" s="77"/>
      <c r="B132" s="85"/>
      <c r="C132" s="83"/>
      <c r="D132" s="86"/>
      <c r="E132" s="87"/>
      <c r="F132" s="69"/>
      <c r="G132" s="70"/>
    </row>
    <row r="133" spans="1:8" ht="15" customHeight="1" x14ac:dyDescent="0.15">
      <c r="A133" s="77"/>
      <c r="B133" s="85"/>
      <c r="C133" s="83"/>
      <c r="D133" s="86"/>
      <c r="E133" s="87"/>
      <c r="F133" s="69"/>
      <c r="G133" s="70"/>
    </row>
    <row r="134" spans="1:8" ht="15" customHeight="1" x14ac:dyDescent="0.15">
      <c r="A134" s="77"/>
      <c r="B134" s="85"/>
      <c r="C134" s="83"/>
      <c r="D134" s="86"/>
      <c r="E134" s="87"/>
      <c r="F134" s="69"/>
      <c r="G134" s="70"/>
    </row>
    <row r="135" spans="1:8" ht="12.75" x14ac:dyDescent="0.15">
      <c r="A135" s="77"/>
      <c r="B135" s="85"/>
      <c r="C135" s="83"/>
      <c r="D135" s="86"/>
      <c r="E135" s="87"/>
      <c r="F135" s="69"/>
      <c r="G135" s="70"/>
    </row>
    <row r="136" spans="1:8" ht="15" customHeight="1" x14ac:dyDescent="0.15">
      <c r="A136" s="72"/>
      <c r="B136" s="85"/>
      <c r="C136" s="83"/>
      <c r="D136" s="86"/>
      <c r="E136" s="88"/>
      <c r="F136" s="69"/>
      <c r="G136" s="70"/>
    </row>
    <row r="137" spans="1:8" ht="15" customHeight="1" x14ac:dyDescent="0.15">
      <c r="A137" s="72"/>
      <c r="B137" s="114" t="s">
        <v>150</v>
      </c>
      <c r="C137" s="108" t="s">
        <v>372</v>
      </c>
      <c r="D137" s="97"/>
      <c r="E137" s="88"/>
      <c r="F137" s="69"/>
      <c r="G137" s="70"/>
    </row>
    <row r="138" spans="1:8" ht="15" customHeight="1" x14ac:dyDescent="0.15">
      <c r="A138" s="77"/>
      <c r="B138" s="85"/>
      <c r="C138" s="109"/>
      <c r="D138" s="97"/>
      <c r="E138" s="88"/>
      <c r="F138" s="69"/>
      <c r="G138" s="70"/>
    </row>
    <row r="139" spans="1:8" ht="15" customHeight="1" x14ac:dyDescent="0.15">
      <c r="A139" s="77"/>
      <c r="B139" s="89"/>
      <c r="C139" s="109"/>
      <c r="D139" s="97"/>
      <c r="E139" s="88"/>
      <c r="F139" s="69"/>
      <c r="G139" s="70"/>
    </row>
    <row r="140" spans="1:8" ht="15" customHeight="1" x14ac:dyDescent="0.15">
      <c r="A140" s="77"/>
      <c r="B140" s="115" t="s">
        <v>358</v>
      </c>
      <c r="C140" s="74" t="s">
        <v>373</v>
      </c>
      <c r="D140" s="97"/>
      <c r="E140" s="88"/>
      <c r="F140" s="69"/>
      <c r="G140" s="70"/>
    </row>
    <row r="141" spans="1:8" ht="15" customHeight="1" x14ac:dyDescent="0.15">
      <c r="A141" s="77"/>
      <c r="B141" s="111"/>
      <c r="C141" s="109" t="s">
        <v>374</v>
      </c>
      <c r="D141" s="97"/>
      <c r="E141" s="88"/>
      <c r="F141" s="69"/>
      <c r="G141" s="70"/>
    </row>
    <row r="142" spans="1:8" ht="15" customHeight="1" x14ac:dyDescent="0.15">
      <c r="A142" s="77"/>
      <c r="B142" s="115"/>
      <c r="C142" s="109" t="s">
        <v>375</v>
      </c>
      <c r="D142" s="97"/>
      <c r="E142" s="88"/>
      <c r="F142" s="69"/>
      <c r="G142" s="70"/>
    </row>
    <row r="143" spans="1:8" ht="14.25" x14ac:dyDescent="0.15">
      <c r="A143" s="77"/>
      <c r="B143" s="111"/>
      <c r="C143" s="109" t="s">
        <v>376</v>
      </c>
      <c r="D143" s="97"/>
      <c r="E143" s="88"/>
      <c r="F143" s="69"/>
      <c r="G143" s="70"/>
    </row>
    <row r="144" spans="1:8" ht="14.25" x14ac:dyDescent="0.15">
      <c r="A144" s="77"/>
      <c r="B144" s="111"/>
      <c r="C144" s="109" t="s">
        <v>377</v>
      </c>
      <c r="D144" s="97"/>
      <c r="E144" s="88"/>
      <c r="F144" s="69"/>
      <c r="G144" s="70"/>
    </row>
    <row r="145" spans="1:11" ht="14.25" x14ac:dyDescent="0.15">
      <c r="A145" s="77"/>
      <c r="B145" s="111"/>
      <c r="C145" s="109" t="s">
        <v>378</v>
      </c>
      <c r="D145" s="97"/>
      <c r="E145" s="88"/>
      <c r="F145" s="69"/>
      <c r="G145" s="70"/>
    </row>
    <row r="146" spans="1:11" ht="14.25" x14ac:dyDescent="0.15">
      <c r="A146" s="77"/>
      <c r="B146" s="111"/>
      <c r="C146" s="109" t="s">
        <v>379</v>
      </c>
      <c r="D146" s="97"/>
      <c r="E146" s="88"/>
      <c r="F146" s="69"/>
      <c r="G146" s="70"/>
    </row>
    <row r="147" spans="1:11" ht="15" customHeight="1" x14ac:dyDescent="0.15">
      <c r="A147" s="77"/>
      <c r="B147" s="111"/>
      <c r="C147" s="109" t="s">
        <v>380</v>
      </c>
      <c r="D147" s="97"/>
      <c r="E147" s="88"/>
      <c r="F147" s="69"/>
      <c r="G147" s="70"/>
    </row>
    <row r="148" spans="1:11" ht="28.5" customHeight="1" x14ac:dyDescent="0.15">
      <c r="A148" s="77"/>
      <c r="B148" s="111"/>
      <c r="C148" s="109" t="s">
        <v>381</v>
      </c>
      <c r="D148" s="97"/>
      <c r="E148" s="88"/>
      <c r="F148" s="69"/>
      <c r="G148" s="70"/>
    </row>
    <row r="149" spans="1:11" ht="17.25" customHeight="1" x14ac:dyDescent="0.15">
      <c r="A149" s="77"/>
      <c r="B149" s="111"/>
      <c r="C149" s="109" t="s">
        <v>382</v>
      </c>
      <c r="D149" s="97"/>
      <c r="E149" s="88"/>
      <c r="F149" s="69"/>
      <c r="G149" s="70"/>
    </row>
    <row r="150" spans="1:11" ht="30.75" customHeight="1" x14ac:dyDescent="0.15">
      <c r="A150" s="77"/>
      <c r="B150" s="111"/>
      <c r="C150" s="109" t="s">
        <v>383</v>
      </c>
      <c r="D150" s="97"/>
      <c r="E150" s="88"/>
      <c r="F150" s="69"/>
      <c r="G150" s="70"/>
    </row>
    <row r="151" spans="1:11" ht="14.25" x14ac:dyDescent="0.15">
      <c r="A151" s="77"/>
      <c r="B151" s="111"/>
      <c r="C151" s="109"/>
      <c r="D151" s="97"/>
      <c r="E151" s="88"/>
      <c r="F151" s="69"/>
      <c r="G151" s="70"/>
    </row>
    <row r="152" spans="1:11" ht="14.25" x14ac:dyDescent="0.15">
      <c r="A152" s="77"/>
      <c r="B152" s="111"/>
      <c r="C152" s="116" t="s">
        <v>384</v>
      </c>
      <c r="D152" s="75" t="s">
        <v>221</v>
      </c>
      <c r="E152" s="88"/>
      <c r="F152" s="69"/>
      <c r="G152" s="70"/>
    </row>
    <row r="153" spans="1:11" ht="15" customHeight="1" x14ac:dyDescent="0.15">
      <c r="A153" s="77"/>
      <c r="B153" s="111"/>
      <c r="C153" s="116"/>
      <c r="D153" s="97"/>
      <c r="E153" s="88"/>
      <c r="F153" s="69"/>
      <c r="G153" s="70"/>
    </row>
    <row r="154" spans="1:11" ht="13.5" x14ac:dyDescent="0.15">
      <c r="A154" s="77"/>
      <c r="B154" s="117" t="s">
        <v>232</v>
      </c>
      <c r="C154" s="116" t="s">
        <v>385</v>
      </c>
      <c r="D154" s="86" t="s">
        <v>133</v>
      </c>
      <c r="E154" s="87">
        <v>7</v>
      </c>
      <c r="F154" s="202">
        <v>244</v>
      </c>
      <c r="G154" s="202">
        <f>F154*E154</f>
        <v>1708</v>
      </c>
    </row>
    <row r="155" spans="1:11" ht="13.5" x14ac:dyDescent="0.15">
      <c r="A155" s="77"/>
      <c r="B155" s="117" t="s">
        <v>234</v>
      </c>
      <c r="C155" s="116" t="s">
        <v>386</v>
      </c>
      <c r="D155" s="86" t="s">
        <v>133</v>
      </c>
      <c r="E155" s="87">
        <v>1</v>
      </c>
      <c r="F155" s="202">
        <v>440</v>
      </c>
      <c r="G155" s="202">
        <f>F155*E155</f>
        <v>440</v>
      </c>
    </row>
    <row r="156" spans="1:11" ht="13.5" x14ac:dyDescent="0.15">
      <c r="A156" s="77"/>
      <c r="B156" s="117" t="s">
        <v>236</v>
      </c>
      <c r="C156" s="116" t="s">
        <v>387</v>
      </c>
      <c r="D156" s="86" t="s">
        <v>155</v>
      </c>
      <c r="E156" s="87">
        <v>218</v>
      </c>
      <c r="F156" s="202">
        <v>79</v>
      </c>
      <c r="G156" s="202">
        <f>F156*E156</f>
        <v>17222</v>
      </c>
    </row>
    <row r="157" spans="1:11" ht="13.5" x14ac:dyDescent="0.15">
      <c r="A157" s="77"/>
      <c r="B157" s="117" t="s">
        <v>238</v>
      </c>
      <c r="C157" s="116" t="s">
        <v>388</v>
      </c>
      <c r="D157" s="86" t="s">
        <v>133</v>
      </c>
      <c r="E157" s="87">
        <v>1</v>
      </c>
      <c r="F157" s="202">
        <v>1757</v>
      </c>
      <c r="G157" s="202">
        <f>F157*E157</f>
        <v>1757</v>
      </c>
    </row>
    <row r="158" spans="1:11" ht="12.75" x14ac:dyDescent="0.15">
      <c r="A158" s="77"/>
      <c r="B158" s="117"/>
      <c r="C158" s="118"/>
      <c r="D158" s="86"/>
      <c r="E158" s="87"/>
      <c r="F158" s="69"/>
      <c r="G158" s="70"/>
    </row>
    <row r="159" spans="1:11" ht="12.75" x14ac:dyDescent="0.15">
      <c r="A159" s="77"/>
      <c r="B159" s="117"/>
      <c r="C159" s="78"/>
      <c r="D159" s="86"/>
      <c r="E159" s="87"/>
      <c r="F159" s="69"/>
      <c r="G159" s="70"/>
    </row>
    <row r="160" spans="1:11" ht="12.75" x14ac:dyDescent="0.15">
      <c r="A160" s="77"/>
      <c r="B160" s="117"/>
      <c r="C160" s="80"/>
      <c r="D160" s="86"/>
      <c r="E160" s="87"/>
      <c r="F160" s="69"/>
      <c r="G160" s="70"/>
    </row>
    <row r="161" spans="1:8" ht="12.75" x14ac:dyDescent="0.15">
      <c r="A161" s="77"/>
      <c r="B161" s="117"/>
      <c r="C161" s="116"/>
      <c r="D161" s="86"/>
      <c r="E161" s="87"/>
      <c r="F161" s="69"/>
      <c r="G161" s="70"/>
    </row>
    <row r="162" spans="1:8" ht="15" customHeight="1" x14ac:dyDescent="0.15">
      <c r="A162" s="77"/>
      <c r="B162" s="117"/>
      <c r="C162" s="116"/>
      <c r="D162" s="86"/>
      <c r="E162" s="87"/>
      <c r="F162" s="69"/>
      <c r="G162" s="70"/>
    </row>
    <row r="163" spans="1:8" ht="15" customHeight="1" x14ac:dyDescent="0.15">
      <c r="A163" s="77"/>
      <c r="B163" s="73"/>
      <c r="C163" s="118"/>
      <c r="D163" s="86"/>
      <c r="E163" s="87"/>
      <c r="F163" s="69"/>
      <c r="G163" s="70"/>
    </row>
    <row r="164" spans="1:8" ht="15" customHeight="1" x14ac:dyDescent="0.15">
      <c r="A164" s="77"/>
      <c r="B164" s="99"/>
      <c r="C164" s="109"/>
      <c r="D164" s="73"/>
      <c r="E164" s="88"/>
      <c r="F164" s="69"/>
      <c r="G164" s="70"/>
    </row>
    <row r="165" spans="1:8" ht="15" customHeight="1" x14ac:dyDescent="0.15">
      <c r="A165" s="77"/>
      <c r="B165" s="73"/>
      <c r="C165" s="74"/>
      <c r="D165" s="75"/>
      <c r="E165" s="88"/>
      <c r="F165" s="69"/>
      <c r="G165" s="70"/>
    </row>
    <row r="166" spans="1:8" ht="15" customHeight="1" x14ac:dyDescent="0.15">
      <c r="A166" s="77"/>
      <c r="B166" s="119" t="s">
        <v>170</v>
      </c>
      <c r="C166" s="120" t="s">
        <v>389</v>
      </c>
      <c r="D166" s="75"/>
      <c r="E166" s="87"/>
      <c r="F166" s="69"/>
      <c r="G166" s="70"/>
    </row>
    <row r="167" spans="1:8" ht="25.5" customHeight="1" x14ac:dyDescent="0.15">
      <c r="A167" s="77"/>
      <c r="B167" s="73"/>
      <c r="C167" s="78"/>
      <c r="D167" s="75"/>
      <c r="E167" s="87"/>
      <c r="F167" s="69"/>
      <c r="G167" s="70"/>
    </row>
    <row r="168" spans="1:8" ht="28.5" customHeight="1" x14ac:dyDescent="0.15">
      <c r="A168" s="77"/>
      <c r="B168" s="89" t="s">
        <v>358</v>
      </c>
      <c r="C168" s="90" t="s">
        <v>390</v>
      </c>
      <c r="D168" s="75"/>
      <c r="E168" s="87"/>
      <c r="F168" s="69"/>
      <c r="G168" s="70"/>
    </row>
    <row r="169" spans="1:8" ht="28.5" customHeight="1" x14ac:dyDescent="0.15">
      <c r="A169" s="77"/>
      <c r="B169" s="73"/>
      <c r="C169" s="74" t="s">
        <v>391</v>
      </c>
      <c r="D169" s="75"/>
      <c r="E169" s="87"/>
      <c r="F169" s="69"/>
      <c r="G169" s="70"/>
    </row>
    <row r="170" spans="1:8" ht="15" customHeight="1" x14ac:dyDescent="0.15">
      <c r="A170" s="77"/>
      <c r="B170" s="73"/>
      <c r="C170" s="74" t="s">
        <v>392</v>
      </c>
      <c r="D170" s="75"/>
      <c r="E170" s="87"/>
      <c r="F170" s="69"/>
      <c r="G170" s="70"/>
    </row>
    <row r="171" spans="1:8" ht="15" customHeight="1" x14ac:dyDescent="0.15">
      <c r="A171" s="77"/>
      <c r="B171" s="73"/>
      <c r="C171" s="74" t="s">
        <v>393</v>
      </c>
      <c r="D171" s="75"/>
      <c r="E171" s="87"/>
      <c r="F171" s="69"/>
      <c r="G171" s="70"/>
    </row>
    <row r="172" spans="1:8" ht="18" customHeight="1" x14ac:dyDescent="0.15">
      <c r="A172" s="77"/>
      <c r="B172" s="73"/>
      <c r="C172" s="74" t="s">
        <v>394</v>
      </c>
      <c r="D172" s="75"/>
      <c r="E172" s="87"/>
      <c r="F172" s="69"/>
      <c r="G172" s="70"/>
    </row>
    <row r="173" spans="1:8" ht="18" customHeight="1" x14ac:dyDescent="0.15">
      <c r="A173" s="77"/>
      <c r="B173" s="73"/>
      <c r="C173" s="74" t="s">
        <v>395</v>
      </c>
      <c r="D173" s="75"/>
      <c r="E173" s="87"/>
      <c r="F173" s="69"/>
      <c r="G173" s="70"/>
    </row>
    <row r="174" spans="1:8" ht="18" customHeight="1" x14ac:dyDescent="0.15">
      <c r="A174" s="77"/>
      <c r="B174" s="73"/>
      <c r="C174" s="78"/>
      <c r="D174" s="75"/>
      <c r="E174" s="87"/>
      <c r="F174" s="69"/>
      <c r="G174" s="70"/>
    </row>
    <row r="175" spans="1:8" ht="18" customHeight="1" x14ac:dyDescent="0.15">
      <c r="A175" s="77"/>
      <c r="B175" s="73"/>
      <c r="C175" s="78" t="s">
        <v>396</v>
      </c>
      <c r="D175" s="75"/>
      <c r="E175" s="87"/>
      <c r="F175" s="69"/>
      <c r="G175" s="70"/>
    </row>
    <row r="176" spans="1:8" ht="18" customHeight="1" x14ac:dyDescent="0.15">
      <c r="A176" s="77"/>
      <c r="B176" s="73"/>
      <c r="C176" s="78" t="s">
        <v>397</v>
      </c>
      <c r="D176" s="75"/>
      <c r="E176" s="87"/>
      <c r="F176" s="69"/>
      <c r="G176" s="70"/>
    </row>
    <row r="177" spans="1:8" ht="18" customHeight="1" x14ac:dyDescent="0.15">
      <c r="A177" s="77"/>
      <c r="B177" s="73"/>
      <c r="C177" s="78" t="s">
        <v>398</v>
      </c>
      <c r="D177" s="75"/>
      <c r="E177" s="87"/>
      <c r="F177" s="69"/>
      <c r="G177" s="70"/>
    </row>
    <row r="178" spans="1:8" ht="18" customHeight="1" x14ac:dyDescent="0.15">
      <c r="A178" s="77"/>
      <c r="B178" s="73"/>
      <c r="C178" s="78" t="s">
        <v>399</v>
      </c>
      <c r="D178" s="75"/>
      <c r="E178" s="87"/>
      <c r="F178" s="69"/>
      <c r="G178" s="70"/>
    </row>
    <row r="179" spans="1:8" ht="18" customHeight="1" x14ac:dyDescent="0.15">
      <c r="A179" s="77"/>
      <c r="B179" s="73"/>
      <c r="C179" s="78" t="s">
        <v>400</v>
      </c>
      <c r="D179" s="75"/>
      <c r="E179" s="87"/>
      <c r="F179" s="69"/>
      <c r="G179" s="70"/>
    </row>
    <row r="180" spans="1:8" ht="18" customHeight="1" x14ac:dyDescent="0.15">
      <c r="A180" s="77"/>
      <c r="B180" s="73"/>
      <c r="C180" s="78" t="s">
        <v>401</v>
      </c>
      <c r="D180" s="75" t="s">
        <v>221</v>
      </c>
      <c r="E180" s="87"/>
      <c r="F180" s="69"/>
      <c r="G180" s="70"/>
    </row>
    <row r="181" spans="1:8" ht="18" customHeight="1" x14ac:dyDescent="0.15">
      <c r="A181" s="77"/>
      <c r="B181" s="73"/>
      <c r="C181" s="78"/>
      <c r="D181" s="75"/>
      <c r="E181" s="87"/>
      <c r="F181" s="69"/>
      <c r="G181" s="70"/>
    </row>
    <row r="182" spans="1:8" ht="18" customHeight="1" x14ac:dyDescent="0.15">
      <c r="A182" s="77"/>
      <c r="B182" s="73"/>
      <c r="C182" s="78"/>
      <c r="D182" s="75"/>
      <c r="E182" s="87"/>
      <c r="F182" s="69"/>
      <c r="G182" s="70"/>
    </row>
    <row r="183" spans="1:8" ht="32.25" customHeight="1" x14ac:dyDescent="0.15">
      <c r="A183" s="77"/>
      <c r="B183" s="73" t="s">
        <v>232</v>
      </c>
      <c r="C183" s="78" t="s">
        <v>402</v>
      </c>
      <c r="D183" s="75" t="s">
        <v>348</v>
      </c>
      <c r="E183" s="87">
        <v>12</v>
      </c>
      <c r="F183" s="202">
        <v>244</v>
      </c>
      <c r="G183" s="202">
        <f>F183*E183</f>
        <v>2928</v>
      </c>
    </row>
    <row r="184" spans="1:8" ht="32.25" customHeight="1" x14ac:dyDescent="0.15">
      <c r="A184" s="77"/>
      <c r="B184" s="73" t="s">
        <v>234</v>
      </c>
      <c r="C184" s="80" t="s">
        <v>403</v>
      </c>
      <c r="D184" s="75" t="s">
        <v>348</v>
      </c>
      <c r="E184" s="87">
        <v>39</v>
      </c>
      <c r="F184" s="202">
        <v>215</v>
      </c>
      <c r="G184" s="202">
        <f>F184*E184</f>
        <v>8385</v>
      </c>
    </row>
    <row r="185" spans="1:8" ht="37.5" customHeight="1" x14ac:dyDescent="0.15">
      <c r="A185" s="77"/>
      <c r="B185" s="73" t="s">
        <v>236</v>
      </c>
      <c r="C185" s="78" t="s">
        <v>404</v>
      </c>
      <c r="D185" s="75" t="s">
        <v>348</v>
      </c>
      <c r="E185" s="87">
        <v>4</v>
      </c>
      <c r="F185" s="202">
        <v>195</v>
      </c>
      <c r="G185" s="202">
        <f>F185*E185</f>
        <v>780</v>
      </c>
    </row>
    <row r="186" spans="1:8" ht="17.25" customHeight="1" x14ac:dyDescent="0.15">
      <c r="A186" s="77"/>
      <c r="B186" s="73"/>
      <c r="C186" s="78"/>
      <c r="D186" s="75"/>
      <c r="E186" s="87"/>
      <c r="F186" s="69"/>
      <c r="G186" s="70"/>
    </row>
    <row r="187" spans="1:8" ht="15" customHeight="1" x14ac:dyDescent="0.15">
      <c r="A187" s="77"/>
      <c r="B187" s="73"/>
      <c r="C187" s="78"/>
      <c r="D187" s="75"/>
      <c r="E187" s="87"/>
      <c r="F187" s="69"/>
      <c r="G187" s="70"/>
    </row>
    <row r="188" spans="1:8" ht="15" customHeight="1" x14ac:dyDescent="0.15">
      <c r="A188" s="77"/>
      <c r="B188" s="73"/>
      <c r="C188" s="78"/>
      <c r="D188" s="75"/>
      <c r="E188" s="87"/>
      <c r="F188" s="69"/>
      <c r="G188" s="70"/>
    </row>
    <row r="189" spans="1:8" ht="15" customHeight="1" x14ac:dyDescent="0.15">
      <c r="A189" s="77"/>
      <c r="B189" s="73"/>
      <c r="C189" s="78"/>
      <c r="D189" s="75"/>
      <c r="E189" s="87"/>
      <c r="F189" s="69"/>
      <c r="G189" s="70"/>
    </row>
    <row r="190" spans="1:8" ht="15" customHeight="1" x14ac:dyDescent="0.15">
      <c r="A190" s="77"/>
      <c r="B190" s="73"/>
      <c r="C190" s="78"/>
      <c r="D190" s="75"/>
      <c r="E190" s="87"/>
      <c r="F190" s="69"/>
      <c r="G190" s="70"/>
    </row>
    <row r="191" spans="1:8" ht="15" customHeight="1" x14ac:dyDescent="0.15">
      <c r="A191" s="77"/>
      <c r="B191" s="73"/>
      <c r="C191" s="78"/>
      <c r="D191" s="75"/>
      <c r="E191" s="87"/>
      <c r="F191" s="69"/>
      <c r="G191" s="70"/>
    </row>
    <row r="192" spans="1:8" ht="15" customHeight="1" x14ac:dyDescent="0.15">
      <c r="A192" s="77"/>
      <c r="B192" s="73"/>
      <c r="C192" s="78"/>
      <c r="D192" s="75"/>
      <c r="E192" s="87"/>
      <c r="F192" s="69"/>
      <c r="G192" s="70"/>
    </row>
    <row r="193" spans="1:13" ht="15" customHeight="1" x14ac:dyDescent="0.15">
      <c r="A193" s="77"/>
      <c r="B193" s="73"/>
      <c r="C193" s="78"/>
      <c r="D193" s="75"/>
      <c r="E193" s="87"/>
      <c r="F193" s="69"/>
      <c r="G193" s="70"/>
    </row>
    <row r="194" spans="1:13" ht="24.95" customHeight="1" x14ac:dyDescent="0.15">
      <c r="A194" s="77"/>
      <c r="B194" s="73"/>
      <c r="C194" s="78"/>
      <c r="D194" s="75"/>
      <c r="E194" s="87"/>
      <c r="F194" s="69"/>
      <c r="G194" s="70"/>
    </row>
    <row r="195" spans="1:13" ht="24.95" customHeight="1" x14ac:dyDescent="0.15">
      <c r="A195" s="77"/>
      <c r="B195" s="73"/>
      <c r="C195" s="78"/>
      <c r="D195" s="75"/>
      <c r="E195" s="87"/>
      <c r="F195" s="69"/>
      <c r="G195" s="70"/>
    </row>
    <row r="196" spans="1:13" ht="24.95" customHeight="1" x14ac:dyDescent="0.15">
      <c r="A196" s="77"/>
      <c r="B196" s="89" t="s">
        <v>364</v>
      </c>
      <c r="C196" s="74" t="s">
        <v>405</v>
      </c>
      <c r="D196" s="75"/>
      <c r="E196" s="87"/>
      <c r="F196" s="69"/>
      <c r="G196" s="70"/>
    </row>
    <row r="197" spans="1:13" ht="24.95" customHeight="1" x14ac:dyDescent="0.15">
      <c r="A197" s="77"/>
      <c r="B197" s="89"/>
      <c r="C197" s="74" t="s">
        <v>406</v>
      </c>
      <c r="D197" s="75"/>
      <c r="E197" s="87"/>
      <c r="F197" s="69"/>
      <c r="G197" s="70"/>
    </row>
    <row r="198" spans="1:13" ht="24.95" customHeight="1" x14ac:dyDescent="0.15">
      <c r="A198" s="77"/>
      <c r="B198" s="89"/>
      <c r="C198" s="74" t="s">
        <v>407</v>
      </c>
      <c r="D198" s="75"/>
      <c r="E198" s="87"/>
      <c r="F198" s="69"/>
      <c r="G198" s="70"/>
    </row>
    <row r="199" spans="1:13" ht="24.95" customHeight="1" x14ac:dyDescent="0.15">
      <c r="A199" s="77"/>
      <c r="B199" s="89"/>
      <c r="C199" s="74" t="s">
        <v>408</v>
      </c>
      <c r="D199" s="75"/>
      <c r="E199" s="87"/>
      <c r="F199" s="69"/>
      <c r="G199" s="70"/>
    </row>
    <row r="200" spans="1:13" ht="24.95" customHeight="1" x14ac:dyDescent="0.15">
      <c r="A200" s="77"/>
      <c r="B200" s="89"/>
      <c r="C200" s="74" t="s">
        <v>395</v>
      </c>
      <c r="D200" s="75"/>
      <c r="E200" s="87"/>
      <c r="F200" s="69"/>
      <c r="G200" s="70"/>
    </row>
    <row r="201" spans="1:13" ht="24.95" customHeight="1" x14ac:dyDescent="0.15">
      <c r="A201" s="77"/>
      <c r="B201" s="89"/>
      <c r="C201" s="74" t="s">
        <v>409</v>
      </c>
      <c r="D201" s="75"/>
      <c r="E201" s="87"/>
      <c r="F201" s="69"/>
      <c r="G201" s="70"/>
    </row>
    <row r="202" spans="1:13" ht="24.95" customHeight="1" x14ac:dyDescent="0.15">
      <c r="A202" s="77"/>
      <c r="B202" s="89"/>
      <c r="C202" s="74"/>
      <c r="D202" s="75"/>
      <c r="E202" s="87"/>
      <c r="F202" s="69"/>
      <c r="G202" s="70"/>
    </row>
    <row r="203" spans="1:13" ht="72" x14ac:dyDescent="0.15">
      <c r="A203" s="77"/>
      <c r="B203" s="89"/>
      <c r="C203" s="90" t="s">
        <v>410</v>
      </c>
      <c r="D203" s="121" t="s">
        <v>221</v>
      </c>
      <c r="E203" s="87"/>
      <c r="F203" s="69"/>
      <c r="G203" s="70"/>
    </row>
    <row r="204" spans="1:13" ht="15.75" customHeight="1" x14ac:dyDescent="0.15">
      <c r="A204" s="77"/>
      <c r="B204" s="89"/>
      <c r="C204" s="74"/>
      <c r="D204" s="75"/>
      <c r="E204" s="87"/>
      <c r="F204" s="69"/>
      <c r="G204" s="70"/>
    </row>
    <row r="205" spans="1:13" ht="51.75" customHeight="1" x14ac:dyDescent="0.15">
      <c r="A205" s="77"/>
      <c r="B205" s="73" t="s">
        <v>247</v>
      </c>
      <c r="C205" s="122" t="s">
        <v>411</v>
      </c>
      <c r="D205" s="75" t="s">
        <v>348</v>
      </c>
      <c r="E205" s="87">
        <v>11</v>
      </c>
      <c r="F205" s="202">
        <v>376</v>
      </c>
      <c r="G205" s="202">
        <f>F205*E205</f>
        <v>4136</v>
      </c>
    </row>
    <row r="206" spans="1:13" ht="21" customHeight="1" x14ac:dyDescent="0.15">
      <c r="A206" s="77"/>
      <c r="B206" s="73"/>
      <c r="C206" s="78"/>
      <c r="D206" s="75"/>
      <c r="E206" s="87"/>
      <c r="F206" s="69"/>
      <c r="G206" s="70"/>
    </row>
    <row r="207" spans="1:13" ht="45" customHeight="1" x14ac:dyDescent="0.15">
      <c r="A207" s="77"/>
      <c r="B207" s="73" t="s">
        <v>249</v>
      </c>
      <c r="C207" s="122" t="s">
        <v>412</v>
      </c>
      <c r="D207" s="75" t="s">
        <v>348</v>
      </c>
      <c r="E207" s="87">
        <v>9</v>
      </c>
      <c r="F207" s="202">
        <v>4169</v>
      </c>
      <c r="G207" s="202">
        <f>F207*E207</f>
        <v>37521</v>
      </c>
    </row>
    <row r="208" spans="1:13" ht="12.75" customHeight="1" x14ac:dyDescent="0.15">
      <c r="A208" s="77"/>
      <c r="B208" s="73"/>
      <c r="C208" s="122"/>
      <c r="D208" s="75"/>
      <c r="E208" s="87"/>
      <c r="F208" s="69"/>
      <c r="G208" s="70"/>
    </row>
    <row r="209" spans="1:12" ht="13.5" customHeight="1" x14ac:dyDescent="0.15">
      <c r="A209" s="77"/>
      <c r="B209" s="73"/>
      <c r="C209" s="78"/>
      <c r="D209" s="75"/>
      <c r="E209" s="87"/>
      <c r="F209" s="69"/>
      <c r="G209" s="70"/>
    </row>
    <row r="210" spans="1:12" ht="28.5" customHeight="1" x14ac:dyDescent="0.15">
      <c r="A210" s="77"/>
      <c r="B210" s="73" t="s">
        <v>251</v>
      </c>
      <c r="C210" s="122" t="s">
        <v>413</v>
      </c>
      <c r="D210" s="75" t="s">
        <v>155</v>
      </c>
      <c r="E210" s="87">
        <v>407</v>
      </c>
      <c r="F210" s="202">
        <v>65</v>
      </c>
      <c r="G210" s="202">
        <f>F210*E210</f>
        <v>26455</v>
      </c>
    </row>
    <row r="211" spans="1:12" ht="16.5" customHeight="1" x14ac:dyDescent="0.15">
      <c r="A211" s="77"/>
      <c r="B211" s="73"/>
      <c r="C211" s="78"/>
      <c r="D211" s="75"/>
      <c r="E211" s="87"/>
      <c r="F211" s="202"/>
      <c r="G211" s="202"/>
    </row>
    <row r="212" spans="1:12" ht="35.25" customHeight="1" x14ac:dyDescent="0.15">
      <c r="A212" s="77"/>
      <c r="B212" s="73" t="s">
        <v>253</v>
      </c>
      <c r="C212" s="122" t="s">
        <v>414</v>
      </c>
      <c r="D212" s="75" t="s">
        <v>155</v>
      </c>
      <c r="E212" s="87">
        <v>132</v>
      </c>
      <c r="F212" s="202">
        <v>84</v>
      </c>
      <c r="G212" s="202">
        <f>F212*E212</f>
        <v>11088</v>
      </c>
    </row>
    <row r="213" spans="1:12" ht="35.25" customHeight="1" x14ac:dyDescent="0.15">
      <c r="A213" s="77"/>
      <c r="B213" s="73"/>
      <c r="C213" s="122"/>
      <c r="D213" s="75"/>
      <c r="E213" s="87"/>
      <c r="F213" s="69"/>
      <c r="G213" s="70"/>
    </row>
    <row r="214" spans="1:12" ht="35.25" customHeight="1" x14ac:dyDescent="0.15">
      <c r="A214" s="77"/>
      <c r="B214" s="73" t="s">
        <v>255</v>
      </c>
      <c r="C214" s="122" t="s">
        <v>415</v>
      </c>
      <c r="D214" s="75" t="s">
        <v>133</v>
      </c>
      <c r="E214" s="87">
        <v>18</v>
      </c>
      <c r="F214" s="202">
        <v>65</v>
      </c>
      <c r="G214" s="202">
        <f>F214*E214</f>
        <v>1170</v>
      </c>
    </row>
    <row r="215" spans="1:12" ht="15" customHeight="1" x14ac:dyDescent="0.15">
      <c r="A215" s="77"/>
      <c r="B215" s="73"/>
      <c r="C215" s="78"/>
      <c r="D215" s="75"/>
      <c r="E215" s="87"/>
      <c r="F215" s="69"/>
      <c r="G215" s="70"/>
    </row>
    <row r="216" spans="1:12" ht="15" customHeight="1" x14ac:dyDescent="0.15">
      <c r="A216" s="77"/>
      <c r="B216" s="73"/>
      <c r="C216" s="123"/>
      <c r="D216" s="124"/>
      <c r="E216" s="87"/>
      <c r="F216" s="69"/>
      <c r="G216" s="70"/>
    </row>
    <row r="217" spans="1:12" ht="15" customHeight="1" x14ac:dyDescent="0.15">
      <c r="A217" s="77"/>
      <c r="B217" s="73"/>
      <c r="C217" s="78"/>
      <c r="D217" s="75"/>
      <c r="E217" s="87"/>
      <c r="F217" s="69"/>
      <c r="G217" s="70"/>
    </row>
    <row r="218" spans="1:12" ht="15" customHeight="1" x14ac:dyDescent="0.15">
      <c r="A218" s="77"/>
      <c r="B218" s="113" t="s">
        <v>183</v>
      </c>
      <c r="C218" s="108" t="s">
        <v>416</v>
      </c>
      <c r="D218" s="75"/>
      <c r="E218" s="87"/>
      <c r="F218" s="69"/>
      <c r="G218" s="70"/>
    </row>
    <row r="219" spans="1:12" ht="15" customHeight="1" x14ac:dyDescent="0.15">
      <c r="A219" s="77"/>
      <c r="B219" s="73"/>
      <c r="C219" s="78" t="s">
        <v>417</v>
      </c>
      <c r="D219" s="75"/>
      <c r="E219" s="87"/>
      <c r="F219" s="69"/>
      <c r="G219" s="70"/>
    </row>
    <row r="220" spans="1:12" ht="15" customHeight="1" x14ac:dyDescent="0.15">
      <c r="A220" s="77"/>
      <c r="B220" s="73"/>
      <c r="C220" s="78" t="s">
        <v>418</v>
      </c>
      <c r="D220" s="75"/>
      <c r="E220" s="87"/>
      <c r="F220" s="69"/>
      <c r="G220" s="70"/>
    </row>
    <row r="221" spans="1:12" ht="15" customHeight="1" x14ac:dyDescent="0.15">
      <c r="A221" s="77"/>
      <c r="B221" s="73"/>
      <c r="C221" s="78" t="s">
        <v>419</v>
      </c>
      <c r="D221" s="75"/>
      <c r="E221" s="87"/>
      <c r="F221" s="69"/>
      <c r="G221" s="70"/>
    </row>
    <row r="222" spans="1:12" ht="15" customHeight="1" x14ac:dyDescent="0.15">
      <c r="A222" s="77"/>
      <c r="B222" s="73"/>
      <c r="C222" s="78" t="s">
        <v>420</v>
      </c>
      <c r="D222" s="75"/>
      <c r="E222" s="87"/>
      <c r="F222" s="69"/>
      <c r="G222" s="70"/>
    </row>
    <row r="223" spans="1:12" ht="15" customHeight="1" x14ac:dyDescent="0.15">
      <c r="A223" s="77"/>
      <c r="B223" s="73"/>
      <c r="C223" s="78" t="s">
        <v>421</v>
      </c>
      <c r="D223" s="75" t="s">
        <v>221</v>
      </c>
      <c r="E223" s="87"/>
      <c r="F223" s="69"/>
      <c r="G223" s="70"/>
    </row>
    <row r="224" spans="1:12" ht="15" customHeight="1" x14ac:dyDescent="0.15">
      <c r="A224" s="77"/>
      <c r="B224" s="73"/>
      <c r="C224" s="78"/>
      <c r="D224" s="75"/>
      <c r="E224" s="87"/>
      <c r="F224" s="69"/>
      <c r="G224" s="70"/>
    </row>
    <row r="225" spans="1:10" ht="15" customHeight="1" x14ac:dyDescent="0.15">
      <c r="A225" s="77"/>
      <c r="B225" s="73"/>
      <c r="C225" s="78"/>
      <c r="D225" s="75"/>
      <c r="E225" s="87"/>
      <c r="F225" s="69"/>
      <c r="G225" s="70"/>
    </row>
    <row r="226" spans="1:10" ht="15" customHeight="1" x14ac:dyDescent="0.15">
      <c r="A226" s="77"/>
      <c r="B226" s="89"/>
      <c r="C226" s="74"/>
      <c r="D226" s="75"/>
      <c r="E226" s="87"/>
      <c r="F226" s="69"/>
      <c r="G226" s="70"/>
    </row>
    <row r="227" spans="1:10" ht="12.75" customHeight="1" x14ac:dyDescent="0.15">
      <c r="A227" s="77"/>
      <c r="B227" s="89" t="s">
        <v>358</v>
      </c>
      <c r="C227" s="74" t="s">
        <v>422</v>
      </c>
      <c r="D227" s="75"/>
      <c r="E227" s="87"/>
      <c r="F227" s="69"/>
      <c r="G227" s="70"/>
    </row>
    <row r="228" spans="1:10" ht="17.25" customHeight="1" x14ac:dyDescent="0.15">
      <c r="A228" s="77"/>
      <c r="B228" s="73"/>
      <c r="C228" s="78"/>
      <c r="D228" s="75"/>
      <c r="E228" s="87"/>
      <c r="F228" s="69"/>
      <c r="G228" s="70"/>
    </row>
    <row r="229" spans="1:10" ht="84.75" customHeight="1" x14ac:dyDescent="0.15">
      <c r="A229" s="77"/>
      <c r="B229" s="73"/>
      <c r="C229" s="125" t="s">
        <v>423</v>
      </c>
      <c r="D229" s="75"/>
      <c r="E229" s="87"/>
      <c r="F229" s="69"/>
      <c r="G229" s="70"/>
    </row>
    <row r="230" spans="1:10" ht="11.25" customHeight="1" x14ac:dyDescent="0.15">
      <c r="A230" s="77"/>
      <c r="B230" s="73"/>
      <c r="C230" s="78"/>
      <c r="D230" s="75"/>
      <c r="E230" s="87"/>
      <c r="F230" s="69"/>
      <c r="G230" s="70"/>
    </row>
    <row r="231" spans="1:10" ht="39.950000000000003" customHeight="1" x14ac:dyDescent="0.15">
      <c r="A231" s="77"/>
      <c r="B231" s="73" t="s">
        <v>232</v>
      </c>
      <c r="C231" s="112" t="s">
        <v>424</v>
      </c>
      <c r="D231" s="75" t="s">
        <v>348</v>
      </c>
      <c r="E231" s="87">
        <v>1</v>
      </c>
      <c r="F231" s="202">
        <v>20891</v>
      </c>
      <c r="G231" s="202">
        <f>F231*E231</f>
        <v>20891</v>
      </c>
    </row>
    <row r="232" spans="1:10" ht="39.950000000000003" customHeight="1" x14ac:dyDescent="0.15">
      <c r="A232" s="77"/>
      <c r="B232" s="73" t="s">
        <v>234</v>
      </c>
      <c r="C232" s="112" t="s">
        <v>425</v>
      </c>
      <c r="D232" s="75" t="s">
        <v>348</v>
      </c>
      <c r="E232" s="87">
        <v>6</v>
      </c>
      <c r="F232" s="202">
        <v>2441</v>
      </c>
      <c r="G232" s="202">
        <f>F232*E232</f>
        <v>14646</v>
      </c>
    </row>
    <row r="233" spans="1:10" ht="39.950000000000003" customHeight="1" x14ac:dyDescent="0.15">
      <c r="A233" s="77"/>
      <c r="B233" s="73" t="s">
        <v>236</v>
      </c>
      <c r="C233" s="126" t="s">
        <v>426</v>
      </c>
      <c r="D233" s="75" t="s">
        <v>348</v>
      </c>
      <c r="E233" s="87">
        <v>1</v>
      </c>
      <c r="F233" s="202">
        <v>1171</v>
      </c>
      <c r="G233" s="202">
        <f>F233*E233</f>
        <v>1171</v>
      </c>
    </row>
    <row r="234" spans="1:10" ht="39.950000000000003" customHeight="1" x14ac:dyDescent="0.15">
      <c r="A234" s="77"/>
      <c r="B234" s="73" t="s">
        <v>238</v>
      </c>
      <c r="C234" s="126" t="s">
        <v>427</v>
      </c>
      <c r="D234" s="75" t="s">
        <v>348</v>
      </c>
      <c r="E234" s="87">
        <v>16</v>
      </c>
      <c r="F234" s="202">
        <v>2441</v>
      </c>
      <c r="G234" s="202">
        <f>F234*E234</f>
        <v>39056</v>
      </c>
    </row>
    <row r="235" spans="1:10" ht="39.950000000000003" customHeight="1" x14ac:dyDescent="0.15">
      <c r="A235" s="77"/>
      <c r="B235" s="73" t="s">
        <v>240</v>
      </c>
      <c r="C235" s="112" t="s">
        <v>428</v>
      </c>
      <c r="D235" s="75" t="s">
        <v>155</v>
      </c>
      <c r="E235" s="87">
        <v>660</v>
      </c>
      <c r="F235" s="202">
        <v>26</v>
      </c>
      <c r="G235" s="202">
        <f>F235*E235</f>
        <v>17160</v>
      </c>
    </row>
    <row r="236" spans="1:10" ht="39.950000000000003" customHeight="1" x14ac:dyDescent="0.15">
      <c r="A236" s="77"/>
      <c r="B236" s="73" t="s">
        <v>242</v>
      </c>
      <c r="C236" s="112" t="s">
        <v>429</v>
      </c>
      <c r="D236" s="75" t="s">
        <v>348</v>
      </c>
      <c r="E236" s="87">
        <v>1</v>
      </c>
      <c r="F236" s="202">
        <v>5467</v>
      </c>
      <c r="G236" s="202">
        <f>F236*E236</f>
        <v>5467</v>
      </c>
    </row>
    <row r="237" spans="1:10" ht="39.950000000000003" customHeight="1" x14ac:dyDescent="0.15">
      <c r="A237" s="77"/>
      <c r="B237" s="73"/>
      <c r="C237" s="112"/>
      <c r="D237" s="75"/>
      <c r="E237" s="87"/>
      <c r="F237" s="69"/>
      <c r="G237" s="70"/>
    </row>
    <row r="238" spans="1:10" ht="15" customHeight="1" x14ac:dyDescent="0.15">
      <c r="A238" s="77"/>
      <c r="B238" s="73"/>
      <c r="C238" s="112"/>
      <c r="D238" s="75"/>
      <c r="E238" s="87"/>
      <c r="F238" s="69"/>
      <c r="G238" s="70"/>
    </row>
    <row r="239" spans="1:10" ht="15" customHeight="1" x14ac:dyDescent="0.15">
      <c r="A239" s="53" t="s">
        <v>430</v>
      </c>
      <c r="B239" s="54"/>
      <c r="C239" s="55"/>
      <c r="D239" s="56"/>
      <c r="E239" s="57"/>
      <c r="F239" s="208"/>
      <c r="G239" s="209">
        <f>SUM(G33:G238)</f>
        <v>772801</v>
      </c>
    </row>
    <row r="240" spans="1:10" ht="12.75" x14ac:dyDescent="0.15"/>
    <row r="241" spans="8:8" ht="12.75" x14ac:dyDescent="0.15"/>
    <row r="242" spans="8:8" ht="12.75" x14ac:dyDescent="0.15"/>
    <row r="243" spans="8:8" ht="15" customHeight="1" x14ac:dyDescent="0.15"/>
    <row r="244" spans="8:8" ht="12.75" x14ac:dyDescent="0.15"/>
    <row r="245" spans="8:8" ht="12.75" x14ac:dyDescent="0.15"/>
    <row r="246" spans="8:8" ht="15" customHeight="1" x14ac:dyDescent="0.15"/>
    <row r="247" spans="8:8" ht="12.75" x14ac:dyDescent="0.15"/>
    <row r="248" spans="8:8" ht="12.75" x14ac:dyDescent="0.15"/>
    <row r="249" spans="8:8" ht="15" customHeight="1" x14ac:dyDescent="0.15"/>
    <row r="250" spans="8:8" ht="15" customHeight="1" x14ac:dyDescent="0.15"/>
  </sheetData>
  <sheetProtection selectLockedCells="1"/>
  <mergeCells count="2">
    <mergeCell ref="C1:D1"/>
    <mergeCell ref="A6:B6"/>
  </mergeCells>
  <printOptions horizontalCentered="1"/>
  <pageMargins left="0.25" right="0.25" top="0.75" bottom="0.75" header="0.3" footer="0.3"/>
  <pageSetup paperSize="9" scale="90" fitToHeight="0" orientation="portrait" r:id="rId1"/>
  <headerFooter>
    <oddFooter>&amp;RPage &amp;P of &amp;N</oddFooter>
  </headerFooter>
  <rowBreaks count="6" manualBreakCount="6">
    <brk id="42" max="6" man="1"/>
    <brk id="91" max="6" man="1"/>
    <brk id="118" max="6" man="1"/>
    <brk id="160" max="6" man="1"/>
    <brk id="192" max="6" man="1"/>
    <brk id="215"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54"/>
  <sheetViews>
    <sheetView showGridLines="0" view="pageBreakPreview" zoomScaleNormal="100" workbookViewId="0">
      <pane ySplit="6" topLeftCell="A122" activePane="bottomLeft" state="frozen"/>
      <selection pane="bottomLeft" activeCell="G137" sqref="G137"/>
    </sheetView>
  </sheetViews>
  <sheetFormatPr defaultColWidth="9.16796875" defaultRowHeight="15" customHeight="1" x14ac:dyDescent="0.15"/>
  <cols>
    <col min="1" max="1" width="5.66015625" style="60" customWidth="1"/>
    <col min="2" max="2" width="5.66015625" style="61" customWidth="1"/>
    <col min="3" max="3" width="66.48046875" style="62" customWidth="1"/>
    <col min="4" max="4" width="7.55078125" style="63" customWidth="1"/>
    <col min="5" max="5" width="8.62890625" style="61" customWidth="1"/>
    <col min="6" max="6" width="10.515625" style="64" customWidth="1"/>
    <col min="7" max="7" width="11.73046875" style="64" customWidth="1"/>
    <col min="8"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1"/>
      <c r="D3" s="12"/>
      <c r="E3" s="10"/>
      <c r="F3" s="195"/>
      <c r="G3" s="195"/>
    </row>
    <row r="4" spans="1:8" ht="15" customHeight="1" x14ac:dyDescent="0.15">
      <c r="A4" s="11" t="s">
        <v>5</v>
      </c>
      <c r="B4" s="11"/>
      <c r="C4" s="11" t="s">
        <v>431</v>
      </c>
      <c r="D4" s="34"/>
      <c r="E4" s="35"/>
      <c r="F4" s="195"/>
      <c r="G4" s="195"/>
    </row>
    <row r="5" spans="1:8" ht="15" customHeight="1" x14ac:dyDescent="0.15">
      <c r="A5" s="35"/>
      <c r="B5" s="35"/>
      <c r="C5" s="11"/>
      <c r="D5" s="34"/>
      <c r="E5" s="35"/>
      <c r="F5" s="195"/>
      <c r="G5" s="195"/>
    </row>
    <row r="6" spans="1:8" ht="15" customHeight="1" x14ac:dyDescent="0.15">
      <c r="A6" s="263" t="s">
        <v>7</v>
      </c>
      <c r="B6" s="279"/>
      <c r="C6" s="38" t="s">
        <v>8</v>
      </c>
      <c r="D6" s="38" t="s">
        <v>9</v>
      </c>
      <c r="E6" s="39" t="s">
        <v>10</v>
      </c>
      <c r="F6" s="197" t="s">
        <v>11</v>
      </c>
      <c r="G6" s="198" t="s">
        <v>12</v>
      </c>
    </row>
    <row r="7" spans="1:8" ht="15" customHeight="1" x14ac:dyDescent="0.15">
      <c r="A7" s="65"/>
      <c r="B7" s="66"/>
      <c r="D7" s="67"/>
      <c r="E7" s="68"/>
      <c r="F7" s="69"/>
      <c r="G7" s="70"/>
    </row>
    <row r="8" spans="1:8" ht="12.75" x14ac:dyDescent="0.15">
      <c r="A8" s="72"/>
      <c r="B8" s="73"/>
      <c r="C8" s="74" t="s">
        <v>432</v>
      </c>
      <c r="D8" s="75"/>
      <c r="E8" s="76"/>
      <c r="F8" s="69"/>
      <c r="G8" s="70"/>
    </row>
    <row r="9" spans="1:8" ht="12.75" x14ac:dyDescent="0.15">
      <c r="A9" s="77"/>
      <c r="B9" s="73"/>
      <c r="C9" s="78"/>
      <c r="D9" s="75"/>
      <c r="E9" s="76"/>
      <c r="F9" s="69"/>
      <c r="G9" s="70"/>
    </row>
    <row r="10" spans="1:8" ht="12.75" x14ac:dyDescent="0.15">
      <c r="A10" s="72"/>
      <c r="B10" s="73"/>
      <c r="C10" s="78" t="s">
        <v>433</v>
      </c>
      <c r="D10" s="75"/>
      <c r="E10" s="76"/>
      <c r="F10" s="69"/>
      <c r="G10" s="70"/>
    </row>
    <row r="11" spans="1:8" ht="93" x14ac:dyDescent="0.15">
      <c r="A11" s="77"/>
      <c r="B11" s="79" t="s">
        <v>434</v>
      </c>
      <c r="C11" s="80" t="s">
        <v>435</v>
      </c>
      <c r="D11" s="81"/>
      <c r="E11" s="82"/>
      <c r="F11" s="221"/>
      <c r="G11" s="70"/>
    </row>
    <row r="12" spans="1:8" ht="15" customHeight="1" x14ac:dyDescent="0.15">
      <c r="A12" s="77"/>
      <c r="B12" s="83" t="s">
        <v>436</v>
      </c>
      <c r="C12" s="83" t="s">
        <v>437</v>
      </c>
      <c r="D12" s="83" t="s">
        <v>438</v>
      </c>
      <c r="E12" s="83">
        <v>1</v>
      </c>
      <c r="F12" s="202">
        <v>7000</v>
      </c>
      <c r="G12" s="202">
        <f>F12*E12</f>
        <v>7000</v>
      </c>
    </row>
    <row r="13" spans="1:8" ht="13.5" x14ac:dyDescent="0.15">
      <c r="A13" s="72"/>
      <c r="B13" s="83" t="s">
        <v>439</v>
      </c>
      <c r="C13" s="83" t="s">
        <v>440</v>
      </c>
      <c r="D13" s="83" t="s">
        <v>438</v>
      </c>
      <c r="E13" s="83">
        <v>1</v>
      </c>
      <c r="F13" s="202">
        <v>813</v>
      </c>
      <c r="G13" s="202">
        <f>F13*E13</f>
        <v>813</v>
      </c>
    </row>
    <row r="14" spans="1:8" ht="13.5" x14ac:dyDescent="0.15">
      <c r="A14" s="77"/>
      <c r="B14" s="83" t="s">
        <v>441</v>
      </c>
      <c r="C14" s="83" t="s">
        <v>442</v>
      </c>
      <c r="D14" s="83" t="s">
        <v>438</v>
      </c>
      <c r="E14" s="83">
        <v>1</v>
      </c>
      <c r="F14" s="202">
        <v>813</v>
      </c>
      <c r="G14" s="202">
        <f>F14*E14</f>
        <v>813</v>
      </c>
    </row>
    <row r="15" spans="1:8" ht="15" customHeight="1" x14ac:dyDescent="0.15">
      <c r="A15" s="77"/>
      <c r="B15" s="83" t="s">
        <v>443</v>
      </c>
      <c r="C15" s="83" t="s">
        <v>444</v>
      </c>
      <c r="D15" s="83" t="s">
        <v>438</v>
      </c>
      <c r="E15" s="83">
        <v>2</v>
      </c>
      <c r="F15" s="262">
        <v>482</v>
      </c>
      <c r="G15" s="262">
        <f>F15*E15</f>
        <v>964</v>
      </c>
    </row>
    <row r="16" spans="1:8" ht="13.5" x14ac:dyDescent="0.15">
      <c r="A16" s="77"/>
      <c r="B16" s="83" t="s">
        <v>445</v>
      </c>
      <c r="C16" s="83" t="s">
        <v>446</v>
      </c>
      <c r="D16" s="83" t="s">
        <v>438</v>
      </c>
      <c r="E16" s="83">
        <v>1</v>
      </c>
      <c r="F16" s="202">
        <v>482</v>
      </c>
      <c r="G16" s="202">
        <f>F16*E16</f>
        <v>482</v>
      </c>
    </row>
    <row r="17" spans="1:8" ht="13.5" x14ac:dyDescent="0.15">
      <c r="A17" s="77"/>
      <c r="B17" s="83" t="s">
        <v>447</v>
      </c>
      <c r="C17" s="83" t="s">
        <v>448</v>
      </c>
      <c r="D17" s="83" t="s">
        <v>438</v>
      </c>
      <c r="E17" s="83">
        <v>4</v>
      </c>
      <c r="F17" s="202">
        <v>813</v>
      </c>
      <c r="G17" s="202">
        <f>F17*E17</f>
        <v>3252</v>
      </c>
    </row>
    <row r="18" spans="1:8" ht="15" customHeight="1" x14ac:dyDescent="0.15">
      <c r="A18" s="77"/>
      <c r="B18" s="83" t="s">
        <v>449</v>
      </c>
      <c r="C18" s="83" t="s">
        <v>450</v>
      </c>
      <c r="D18" s="83" t="s">
        <v>438</v>
      </c>
      <c r="E18" s="83">
        <v>21</v>
      </c>
      <c r="F18" s="202">
        <v>1000</v>
      </c>
      <c r="G18" s="202">
        <f>F18*E18</f>
        <v>21000</v>
      </c>
    </row>
    <row r="19" spans="1:8" ht="15" customHeight="1" x14ac:dyDescent="0.15">
      <c r="A19" s="77"/>
      <c r="B19" s="83" t="s">
        <v>451</v>
      </c>
      <c r="C19" s="83" t="s">
        <v>452</v>
      </c>
      <c r="D19" s="83" t="s">
        <v>438</v>
      </c>
      <c r="E19" s="83">
        <v>1</v>
      </c>
      <c r="F19" s="202">
        <v>2250</v>
      </c>
      <c r="G19" s="202">
        <f>F19*E19</f>
        <v>2250</v>
      </c>
    </row>
    <row r="20" spans="1:8" ht="15" customHeight="1" x14ac:dyDescent="0.15">
      <c r="A20" s="72"/>
      <c r="B20" s="83" t="s">
        <v>453</v>
      </c>
      <c r="C20" s="83" t="s">
        <v>454</v>
      </c>
      <c r="D20" s="83" t="s">
        <v>438</v>
      </c>
      <c r="E20" s="83">
        <v>14</v>
      </c>
      <c r="F20" s="202">
        <v>2063</v>
      </c>
      <c r="G20" s="202">
        <f>F20*E20</f>
        <v>28882</v>
      </c>
    </row>
    <row r="21" spans="1:8" ht="15" customHeight="1" x14ac:dyDescent="0.15">
      <c r="A21" s="72"/>
      <c r="B21" s="83" t="s">
        <v>455</v>
      </c>
      <c r="C21" s="83" t="s">
        <v>456</v>
      </c>
      <c r="D21" s="83" t="s">
        <v>438</v>
      </c>
      <c r="E21" s="83">
        <v>18</v>
      </c>
      <c r="F21" s="202">
        <v>563</v>
      </c>
      <c r="G21" s="202">
        <f>F21*E21</f>
        <v>10134</v>
      </c>
    </row>
    <row r="22" spans="1:8" ht="13.5" x14ac:dyDescent="0.15">
      <c r="A22" s="72"/>
      <c r="B22" s="83" t="s">
        <v>457</v>
      </c>
      <c r="C22" s="83" t="s">
        <v>458</v>
      </c>
      <c r="D22" s="83" t="s">
        <v>438</v>
      </c>
      <c r="E22" s="83">
        <v>18</v>
      </c>
      <c r="F22" s="202">
        <v>563</v>
      </c>
      <c r="G22" s="202">
        <f>F22*E22</f>
        <v>10134</v>
      </c>
    </row>
    <row r="23" spans="1:8" ht="13.5" x14ac:dyDescent="0.15">
      <c r="A23" s="72"/>
      <c r="B23" s="83" t="s">
        <v>459</v>
      </c>
      <c r="C23" s="83" t="s">
        <v>460</v>
      </c>
      <c r="D23" s="83" t="s">
        <v>438</v>
      </c>
      <c r="E23" s="83">
        <v>58</v>
      </c>
      <c r="F23" s="202">
        <v>282</v>
      </c>
      <c r="G23" s="202">
        <f>F23*E23</f>
        <v>16356</v>
      </c>
    </row>
    <row r="24" spans="1:8" ht="39.75" customHeight="1" x14ac:dyDescent="0.15">
      <c r="A24" s="77"/>
      <c r="B24" s="83" t="s">
        <v>461</v>
      </c>
      <c r="C24" s="84" t="s">
        <v>462</v>
      </c>
      <c r="D24" s="83" t="s">
        <v>438</v>
      </c>
      <c r="E24" s="83">
        <v>27</v>
      </c>
      <c r="F24" s="202">
        <v>482</v>
      </c>
      <c r="G24" s="202">
        <f>F24*E24</f>
        <v>13014</v>
      </c>
    </row>
    <row r="25" spans="1:8" ht="37.5" customHeight="1" x14ac:dyDescent="0.15">
      <c r="A25" s="72"/>
      <c r="B25" s="83" t="s">
        <v>463</v>
      </c>
      <c r="C25" s="84" t="s">
        <v>464</v>
      </c>
      <c r="D25" s="83" t="s">
        <v>438</v>
      </c>
      <c r="E25" s="83">
        <v>7</v>
      </c>
      <c r="F25" s="202">
        <v>482</v>
      </c>
      <c r="G25" s="202">
        <f>F25*E25</f>
        <v>3374</v>
      </c>
    </row>
    <row r="26" spans="1:8" ht="15" customHeight="1" x14ac:dyDescent="0.15">
      <c r="A26" s="77"/>
      <c r="B26" s="83" t="s">
        <v>465</v>
      </c>
      <c r="C26" s="83" t="s">
        <v>466</v>
      </c>
      <c r="D26" s="83" t="s">
        <v>133</v>
      </c>
      <c r="E26" s="83">
        <v>1</v>
      </c>
      <c r="F26" s="202">
        <v>3688</v>
      </c>
      <c r="G26" s="202">
        <f>F26*E26</f>
        <v>3688</v>
      </c>
    </row>
    <row r="27" spans="1:8" ht="15" customHeight="1" x14ac:dyDescent="0.15">
      <c r="A27" s="77"/>
      <c r="B27" s="83" t="s">
        <v>467</v>
      </c>
      <c r="C27" s="83" t="s">
        <v>468</v>
      </c>
      <c r="D27" s="83" t="s">
        <v>133</v>
      </c>
      <c r="E27" s="83">
        <v>1</v>
      </c>
      <c r="F27" s="202">
        <v>3438</v>
      </c>
      <c r="G27" s="202">
        <f>F27*E27</f>
        <v>3438</v>
      </c>
    </row>
    <row r="28" spans="1:8" ht="15" customHeight="1" x14ac:dyDescent="0.15">
      <c r="A28" s="77"/>
      <c r="B28" s="85"/>
      <c r="C28" s="83"/>
      <c r="D28" s="86"/>
      <c r="E28" s="87"/>
      <c r="F28" s="69"/>
      <c r="G28" s="70"/>
    </row>
    <row r="29" spans="1:8" ht="12.75" x14ac:dyDescent="0.15">
      <c r="A29" s="77"/>
      <c r="B29" s="85"/>
      <c r="C29" s="83"/>
      <c r="D29" s="86"/>
      <c r="E29" s="88"/>
      <c r="F29" s="69"/>
      <c r="G29" s="70"/>
    </row>
    <row r="30" spans="1:8" ht="12.75" x14ac:dyDescent="0.15">
      <c r="A30" s="77"/>
      <c r="B30" s="89"/>
      <c r="C30" s="90"/>
      <c r="D30" s="86"/>
      <c r="E30" s="88"/>
      <c r="F30" s="69"/>
      <c r="G30" s="70"/>
    </row>
    <row r="31" spans="1:8" ht="12.75" x14ac:dyDescent="0.15">
      <c r="A31" s="77"/>
      <c r="B31" s="85"/>
      <c r="C31" s="83" t="s">
        <v>469</v>
      </c>
      <c r="D31" s="86"/>
      <c r="E31" s="88"/>
      <c r="F31" s="69"/>
      <c r="G31" s="70"/>
    </row>
    <row r="32" spans="1:8" ht="14.25" customHeight="1" x14ac:dyDescent="0.15">
      <c r="A32" s="77"/>
      <c r="B32" s="89"/>
      <c r="C32" s="83"/>
      <c r="D32" s="86"/>
      <c r="E32" s="88"/>
      <c r="F32" s="69"/>
      <c r="G32" s="70"/>
    </row>
    <row r="33" spans="1:13" ht="12.75" x14ac:dyDescent="0.15">
      <c r="A33" s="77"/>
      <c r="B33" s="280" t="s">
        <v>470</v>
      </c>
      <c r="C33" s="83" t="s">
        <v>471</v>
      </c>
      <c r="D33" s="86"/>
      <c r="E33" s="87"/>
      <c r="F33" s="69"/>
      <c r="G33" s="70"/>
    </row>
    <row r="34" spans="1:13" ht="15" customHeight="1" x14ac:dyDescent="0.15">
      <c r="A34" s="77"/>
      <c r="B34" s="280"/>
      <c r="C34" s="83" t="s">
        <v>472</v>
      </c>
      <c r="D34" s="86"/>
      <c r="E34" s="87"/>
      <c r="F34" s="69"/>
      <c r="G34" s="70"/>
    </row>
    <row r="35" spans="1:13" ht="17.100000000000001" customHeight="1" x14ac:dyDescent="0.15">
      <c r="A35" s="77"/>
      <c r="B35" s="280"/>
      <c r="C35" s="83" t="s">
        <v>473</v>
      </c>
      <c r="D35" s="86"/>
      <c r="E35" s="87"/>
      <c r="F35" s="69"/>
      <c r="G35" s="70"/>
    </row>
    <row r="36" spans="1:13" ht="17.100000000000001" customHeight="1" x14ac:dyDescent="0.15">
      <c r="A36" s="77"/>
      <c r="B36" s="280"/>
      <c r="C36" s="83" t="s">
        <v>474</v>
      </c>
      <c r="D36" s="86"/>
      <c r="E36" s="87"/>
      <c r="F36" s="69"/>
      <c r="G36" s="70"/>
    </row>
    <row r="37" spans="1:13" ht="17.100000000000001" customHeight="1" x14ac:dyDescent="0.15">
      <c r="A37" s="77"/>
      <c r="B37" s="280"/>
      <c r="C37" s="83" t="s">
        <v>475</v>
      </c>
      <c r="D37" s="86"/>
      <c r="E37" s="87"/>
      <c r="F37" s="69"/>
      <c r="G37" s="70"/>
    </row>
    <row r="38" spans="1:13" ht="17.100000000000001" customHeight="1" x14ac:dyDescent="0.15">
      <c r="A38" s="77"/>
      <c r="B38" s="280"/>
      <c r="C38" s="83" t="s">
        <v>476</v>
      </c>
      <c r="D38" s="86"/>
      <c r="E38" s="87"/>
      <c r="F38" s="69"/>
      <c r="G38" s="70"/>
    </row>
    <row r="39" spans="1:13" ht="17.100000000000001" customHeight="1" x14ac:dyDescent="0.15">
      <c r="A39" s="77"/>
      <c r="B39" s="280"/>
      <c r="C39" s="83" t="s">
        <v>477</v>
      </c>
      <c r="D39" s="86"/>
      <c r="E39" s="87"/>
      <c r="F39" s="69"/>
      <c r="G39" s="70"/>
    </row>
    <row r="40" spans="1:13" ht="17.100000000000001" customHeight="1" x14ac:dyDescent="0.15">
      <c r="A40" s="77"/>
      <c r="B40" s="280"/>
      <c r="C40" s="83" t="s">
        <v>478</v>
      </c>
      <c r="D40" s="86"/>
      <c r="E40" s="87"/>
      <c r="F40" s="69"/>
      <c r="G40" s="70"/>
    </row>
    <row r="41" spans="1:13" ht="17.100000000000001" customHeight="1" x14ac:dyDescent="0.15">
      <c r="A41" s="77"/>
      <c r="B41" s="85"/>
      <c r="C41" s="83"/>
      <c r="D41" s="86"/>
      <c r="E41" s="87"/>
      <c r="F41" s="69"/>
      <c r="G41" s="70"/>
    </row>
    <row r="42" spans="1:13" ht="17.100000000000001" customHeight="1" x14ac:dyDescent="0.15">
      <c r="A42" s="77"/>
      <c r="B42" s="85" t="s">
        <v>479</v>
      </c>
      <c r="C42" s="83" t="s">
        <v>480</v>
      </c>
      <c r="D42" s="86" t="s">
        <v>155</v>
      </c>
      <c r="E42" s="87">
        <v>360</v>
      </c>
      <c r="F42" s="202">
        <v>48</v>
      </c>
      <c r="G42" s="202">
        <f>F42*E42</f>
        <v>17280</v>
      </c>
    </row>
    <row r="43" spans="1:13" ht="17.100000000000001" customHeight="1" x14ac:dyDescent="0.15">
      <c r="A43" s="77"/>
      <c r="B43" s="85"/>
      <c r="C43" s="83"/>
      <c r="D43" s="86"/>
      <c r="E43" s="87"/>
      <c r="F43" s="69"/>
      <c r="G43" s="70"/>
    </row>
    <row r="44" spans="1:13" ht="17.100000000000001" customHeight="1" x14ac:dyDescent="0.15">
      <c r="A44" s="77"/>
      <c r="B44" s="85" t="s">
        <v>481</v>
      </c>
      <c r="C44" s="83" t="s">
        <v>482</v>
      </c>
      <c r="D44" s="86" t="s">
        <v>155</v>
      </c>
      <c r="E44" s="87">
        <v>80</v>
      </c>
      <c r="F44" s="202">
        <v>61</v>
      </c>
      <c r="G44" s="202">
        <f>F44*E44</f>
        <v>4880</v>
      </c>
    </row>
    <row r="45" spans="1:13" ht="17.100000000000001" customHeight="1" x14ac:dyDescent="0.15">
      <c r="A45" s="77"/>
      <c r="B45" s="85"/>
      <c r="C45" s="83"/>
      <c r="D45" s="86"/>
      <c r="E45" s="87"/>
      <c r="F45" s="69"/>
      <c r="G45" s="70"/>
    </row>
    <row r="46" spans="1:13" ht="17.100000000000001" customHeight="1" x14ac:dyDescent="0.15">
      <c r="A46" s="77"/>
      <c r="B46" s="85" t="s">
        <v>483</v>
      </c>
      <c r="C46" s="83" t="s">
        <v>484</v>
      </c>
      <c r="D46" s="86" t="s">
        <v>155</v>
      </c>
      <c r="E46" s="87">
        <v>230</v>
      </c>
      <c r="F46" s="202">
        <v>73</v>
      </c>
      <c r="G46" s="202">
        <f>F46*E46</f>
        <v>16790</v>
      </c>
    </row>
    <row r="47" spans="1:13" ht="17.100000000000001" customHeight="1" x14ac:dyDescent="0.15">
      <c r="A47" s="77"/>
      <c r="B47" s="85"/>
      <c r="C47" s="83"/>
      <c r="D47" s="86"/>
      <c r="E47" s="87"/>
      <c r="F47" s="69"/>
      <c r="G47" s="70"/>
    </row>
    <row r="48" spans="1:13" ht="17.100000000000001" customHeight="1" x14ac:dyDescent="0.15">
      <c r="A48" s="77"/>
      <c r="B48" s="85" t="s">
        <v>485</v>
      </c>
      <c r="C48" s="83" t="s">
        <v>486</v>
      </c>
      <c r="D48" s="86" t="s">
        <v>155</v>
      </c>
      <c r="E48" s="87">
        <v>66</v>
      </c>
      <c r="F48" s="202">
        <v>108</v>
      </c>
      <c r="G48" s="202">
        <f>F48*E48</f>
        <v>7128</v>
      </c>
    </row>
    <row r="49" spans="1:13" ht="17.100000000000001" customHeight="1" x14ac:dyDescent="0.15">
      <c r="A49" s="77"/>
      <c r="B49" s="85"/>
      <c r="C49" s="83"/>
      <c r="D49" s="86"/>
      <c r="E49" s="87"/>
      <c r="F49" s="69"/>
      <c r="G49" s="70"/>
    </row>
    <row r="50" spans="1:13" ht="17.100000000000001" customHeight="1" x14ac:dyDescent="0.15">
      <c r="A50" s="77"/>
      <c r="B50" s="85" t="s">
        <v>487</v>
      </c>
      <c r="C50" s="83" t="s">
        <v>488</v>
      </c>
      <c r="D50" s="86" t="s">
        <v>155</v>
      </c>
      <c r="E50" s="87">
        <v>32</v>
      </c>
      <c r="F50" s="202">
        <v>144</v>
      </c>
      <c r="G50" s="202">
        <f>F50*E50</f>
        <v>4608</v>
      </c>
    </row>
    <row r="51" spans="1:13" ht="15" customHeight="1" x14ac:dyDescent="0.15">
      <c r="A51" s="77"/>
      <c r="B51" s="85"/>
      <c r="C51" s="83"/>
      <c r="D51" s="86"/>
      <c r="E51" s="87"/>
      <c r="F51" s="69"/>
      <c r="G51" s="70"/>
    </row>
    <row r="52" spans="1:13" ht="15" customHeight="1" x14ac:dyDescent="0.15">
      <c r="A52" s="77"/>
      <c r="B52" s="85" t="s">
        <v>489</v>
      </c>
      <c r="C52" s="83" t="s">
        <v>490</v>
      </c>
      <c r="D52" s="86" t="s">
        <v>155</v>
      </c>
      <c r="E52" s="87">
        <v>50</v>
      </c>
      <c r="F52" s="202">
        <v>186</v>
      </c>
      <c r="G52" s="202">
        <f>F52*E52</f>
        <v>9300</v>
      </c>
    </row>
    <row r="53" spans="1:13" ht="15" customHeight="1" x14ac:dyDescent="0.15">
      <c r="A53" s="77"/>
      <c r="B53" s="85"/>
      <c r="C53" s="83"/>
      <c r="D53" s="86"/>
      <c r="E53" s="87"/>
      <c r="F53" s="69"/>
      <c r="G53" s="70"/>
    </row>
    <row r="54" spans="1:13" ht="15" customHeight="1" x14ac:dyDescent="0.15">
      <c r="A54" s="77"/>
      <c r="B54" s="85" t="s">
        <v>491</v>
      </c>
      <c r="C54" s="83" t="s">
        <v>492</v>
      </c>
      <c r="D54" s="86" t="s">
        <v>155</v>
      </c>
      <c r="E54" s="87">
        <v>84</v>
      </c>
      <c r="F54" s="202">
        <v>253</v>
      </c>
      <c r="G54" s="202">
        <f>F54*E54</f>
        <v>21252</v>
      </c>
    </row>
    <row r="55" spans="1:13" ht="15" customHeight="1" x14ac:dyDescent="0.15">
      <c r="A55" s="77"/>
      <c r="B55" s="85"/>
      <c r="C55" s="83"/>
      <c r="D55" s="86"/>
      <c r="E55" s="87"/>
      <c r="F55" s="69"/>
      <c r="G55" s="70"/>
    </row>
    <row r="56" spans="1:13" ht="27" customHeight="1" x14ac:dyDescent="0.15">
      <c r="A56" s="77"/>
      <c r="B56" s="85"/>
      <c r="C56" s="91" t="s">
        <v>493</v>
      </c>
      <c r="D56" s="86"/>
      <c r="E56" s="87"/>
      <c r="F56" s="69"/>
      <c r="G56" s="70"/>
    </row>
    <row r="57" spans="1:13" ht="15" customHeight="1" x14ac:dyDescent="0.15">
      <c r="A57" s="77"/>
      <c r="B57" s="85"/>
      <c r="C57" s="83"/>
      <c r="D57" s="86"/>
      <c r="E57" s="87"/>
      <c r="F57" s="69"/>
      <c r="G57" s="70"/>
    </row>
    <row r="58" spans="1:13" ht="13.5" x14ac:dyDescent="0.15">
      <c r="A58" s="77"/>
      <c r="B58" s="85" t="s">
        <v>494</v>
      </c>
      <c r="C58" s="83" t="s">
        <v>495</v>
      </c>
      <c r="D58" s="86" t="s">
        <v>155</v>
      </c>
      <c r="E58" s="87">
        <v>0</v>
      </c>
      <c r="F58" s="202">
        <v>47</v>
      </c>
      <c r="G58" s="202">
        <f>F58*E58</f>
        <v>0</v>
      </c>
    </row>
    <row r="59" spans="1:13" ht="12.75" x14ac:dyDescent="0.15">
      <c r="A59" s="77"/>
      <c r="B59" s="85"/>
      <c r="C59" s="83"/>
      <c r="D59" s="86"/>
      <c r="E59" s="87"/>
      <c r="F59" s="69"/>
      <c r="G59" s="70"/>
    </row>
    <row r="60" spans="1:13" ht="13.5" x14ac:dyDescent="0.15">
      <c r="A60" s="77"/>
      <c r="B60" s="85" t="s">
        <v>496</v>
      </c>
      <c r="C60" s="83" t="s">
        <v>497</v>
      </c>
      <c r="D60" s="86" t="s">
        <v>155</v>
      </c>
      <c r="E60" s="87">
        <v>0</v>
      </c>
      <c r="F60" s="202">
        <v>68</v>
      </c>
      <c r="G60" s="202">
        <f>F60*E60</f>
        <v>0</v>
      </c>
    </row>
    <row r="61" spans="1:13" ht="12.75" x14ac:dyDescent="0.15">
      <c r="A61" s="77"/>
      <c r="B61" s="85"/>
      <c r="C61" s="83"/>
      <c r="D61" s="86"/>
      <c r="E61" s="87"/>
      <c r="F61" s="69"/>
      <c r="G61" s="70"/>
    </row>
    <row r="62" spans="1:13" ht="13.5" x14ac:dyDescent="0.15">
      <c r="A62" s="77"/>
      <c r="B62" s="85" t="s">
        <v>498</v>
      </c>
      <c r="C62" s="83" t="s">
        <v>499</v>
      </c>
      <c r="D62" s="86" t="s">
        <v>155</v>
      </c>
      <c r="E62" s="87">
        <v>97</v>
      </c>
      <c r="F62" s="202">
        <v>92</v>
      </c>
      <c r="G62" s="202">
        <f>F62*E62</f>
        <v>8924</v>
      </c>
    </row>
    <row r="63" spans="1:13" ht="12.75" x14ac:dyDescent="0.15">
      <c r="A63" s="77"/>
      <c r="B63" s="85"/>
      <c r="C63" s="83"/>
      <c r="D63" s="86"/>
      <c r="E63" s="87"/>
      <c r="F63" s="69"/>
      <c r="G63" s="70"/>
    </row>
    <row r="64" spans="1:13" ht="13.5" x14ac:dyDescent="0.15">
      <c r="A64" s="77"/>
      <c r="B64" s="85" t="s">
        <v>500</v>
      </c>
      <c r="C64" s="83" t="s">
        <v>501</v>
      </c>
      <c r="D64" s="86" t="s">
        <v>155</v>
      </c>
      <c r="E64" s="87">
        <v>37</v>
      </c>
      <c r="F64" s="202">
        <v>168</v>
      </c>
      <c r="G64" s="202">
        <f>F64*E64</f>
        <v>6216</v>
      </c>
    </row>
    <row r="65" spans="1:8" ht="15" customHeight="1" x14ac:dyDescent="0.15">
      <c r="A65" s="77"/>
      <c r="B65" s="85"/>
      <c r="C65" s="83"/>
      <c r="D65" s="86"/>
      <c r="E65" s="87"/>
      <c r="F65" s="69"/>
      <c r="G65" s="70"/>
    </row>
    <row r="66" spans="1:8" ht="13.5" x14ac:dyDescent="0.15">
      <c r="A66" s="77"/>
      <c r="B66" s="85" t="s">
        <v>502</v>
      </c>
      <c r="C66" s="83" t="s">
        <v>503</v>
      </c>
      <c r="D66" s="86" t="s">
        <v>155</v>
      </c>
      <c r="E66" s="87">
        <v>62</v>
      </c>
      <c r="F66" s="202">
        <v>47</v>
      </c>
      <c r="G66" s="202">
        <f>F66*E66</f>
        <v>2914</v>
      </c>
    </row>
    <row r="67" spans="1:8" ht="12.75" x14ac:dyDescent="0.15">
      <c r="A67" s="77"/>
      <c r="B67" s="85"/>
      <c r="C67" s="83"/>
      <c r="D67" s="86"/>
      <c r="E67" s="87"/>
      <c r="F67" s="69"/>
      <c r="G67" s="70"/>
    </row>
    <row r="68" spans="1:8" ht="12.75" x14ac:dyDescent="0.15">
      <c r="A68" s="77"/>
      <c r="B68" s="85"/>
      <c r="C68" s="83" t="s">
        <v>504</v>
      </c>
      <c r="D68" s="86"/>
      <c r="E68" s="87"/>
      <c r="F68" s="69"/>
      <c r="G68" s="70"/>
    </row>
    <row r="69" spans="1:8" ht="12.75" x14ac:dyDescent="0.15">
      <c r="A69" s="77"/>
      <c r="B69" s="85"/>
      <c r="C69" s="83"/>
      <c r="D69" s="86"/>
      <c r="E69" s="87"/>
      <c r="F69" s="69"/>
      <c r="G69" s="70"/>
    </row>
    <row r="70" spans="1:8" ht="15" customHeight="1" x14ac:dyDescent="0.15">
      <c r="A70" s="77"/>
      <c r="B70" s="85" t="s">
        <v>505</v>
      </c>
      <c r="C70" s="281" t="s">
        <v>506</v>
      </c>
      <c r="D70" s="86" t="s">
        <v>133</v>
      </c>
      <c r="E70" s="87">
        <v>1</v>
      </c>
      <c r="F70" s="202">
        <v>3125</v>
      </c>
      <c r="G70" s="202">
        <f>F70*E70</f>
        <v>3125</v>
      </c>
    </row>
    <row r="71" spans="1:8" ht="12.75" x14ac:dyDescent="0.15">
      <c r="A71" s="77"/>
      <c r="B71" s="85"/>
      <c r="C71" s="281"/>
      <c r="D71" s="86"/>
      <c r="E71" s="87"/>
      <c r="F71" s="69"/>
      <c r="G71" s="70"/>
    </row>
    <row r="72" spans="1:8" ht="12.75" x14ac:dyDescent="0.15">
      <c r="A72" s="77"/>
      <c r="B72" s="85"/>
      <c r="C72" s="83"/>
      <c r="D72" s="86"/>
      <c r="E72" s="87"/>
      <c r="F72" s="69"/>
      <c r="G72" s="70"/>
    </row>
    <row r="73" spans="1:8" ht="12.75" x14ac:dyDescent="0.15">
      <c r="A73" s="77"/>
      <c r="B73" s="85"/>
      <c r="C73" s="83" t="s">
        <v>507</v>
      </c>
      <c r="D73" s="86"/>
      <c r="E73" s="87"/>
      <c r="F73" s="69"/>
      <c r="G73" s="70"/>
    </row>
    <row r="74" spans="1:8" ht="12.75" customHeight="1" x14ac:dyDescent="0.15">
      <c r="A74" s="77"/>
      <c r="B74" s="85" t="s">
        <v>508</v>
      </c>
      <c r="C74" s="281" t="s">
        <v>509</v>
      </c>
      <c r="D74" s="86"/>
      <c r="E74" s="87"/>
      <c r="F74" s="69"/>
      <c r="G74" s="70"/>
    </row>
    <row r="75" spans="1:8" ht="12.75" x14ac:dyDescent="0.15">
      <c r="A75" s="77"/>
      <c r="B75" s="85"/>
      <c r="C75" s="281"/>
      <c r="D75" s="86"/>
      <c r="E75" s="87"/>
      <c r="F75" s="69"/>
      <c r="G75" s="70"/>
    </row>
    <row r="76" spans="1:8" ht="13.5" x14ac:dyDescent="0.15">
      <c r="A76" s="77"/>
      <c r="B76" s="85"/>
      <c r="C76" s="281"/>
      <c r="D76" s="86" t="s">
        <v>133</v>
      </c>
      <c r="E76" s="87">
        <v>7</v>
      </c>
      <c r="F76" s="202">
        <v>3125</v>
      </c>
      <c r="G76" s="202">
        <f>F76*E76</f>
        <v>21875</v>
      </c>
    </row>
    <row r="77" spans="1:8" ht="12.75" x14ac:dyDescent="0.15">
      <c r="A77" s="77"/>
      <c r="B77" s="85"/>
      <c r="C77" s="281"/>
      <c r="D77" s="86"/>
      <c r="E77" s="87"/>
      <c r="F77" s="69"/>
      <c r="G77" s="70"/>
    </row>
    <row r="78" spans="1:8" ht="12.75" x14ac:dyDescent="0.15">
      <c r="A78" s="77"/>
      <c r="B78" s="85"/>
      <c r="C78" s="281"/>
      <c r="D78" s="86"/>
      <c r="E78" s="87"/>
      <c r="F78" s="69"/>
      <c r="G78" s="70"/>
    </row>
    <row r="79" spans="1:8" ht="12.75" x14ac:dyDescent="0.15">
      <c r="A79" s="77"/>
      <c r="B79" s="85"/>
      <c r="C79" s="83"/>
      <c r="D79" s="86"/>
      <c r="E79" s="87"/>
      <c r="F79" s="69"/>
      <c r="G79" s="70"/>
    </row>
    <row r="80" spans="1:8" ht="12.75" x14ac:dyDescent="0.15">
      <c r="A80" s="77"/>
      <c r="B80" s="85"/>
      <c r="C80" s="83"/>
      <c r="D80" s="86"/>
      <c r="E80" s="87"/>
      <c r="F80" s="69"/>
      <c r="G80" s="70"/>
    </row>
    <row r="81" spans="1:8" ht="12.75" x14ac:dyDescent="0.15">
      <c r="A81" s="77"/>
      <c r="B81" s="92"/>
      <c r="C81" s="93"/>
      <c r="D81" s="94"/>
      <c r="E81" s="88"/>
      <c r="F81" s="69"/>
      <c r="G81" s="70"/>
    </row>
    <row r="82" spans="1:8" ht="12.75" x14ac:dyDescent="0.15">
      <c r="A82" s="77"/>
      <c r="B82" s="85" t="s">
        <v>510</v>
      </c>
      <c r="C82" s="83" t="s">
        <v>511</v>
      </c>
      <c r="D82" s="94"/>
      <c r="E82" s="88"/>
      <c r="F82" s="69"/>
      <c r="G82" s="70"/>
    </row>
    <row r="83" spans="1:8" ht="12.75" x14ac:dyDescent="0.15">
      <c r="A83" s="77"/>
      <c r="B83" s="95"/>
      <c r="C83" s="93"/>
      <c r="D83" s="94"/>
      <c r="E83" s="88"/>
      <c r="F83" s="69"/>
      <c r="G83" s="70"/>
    </row>
    <row r="84" spans="1:8" ht="12.75" x14ac:dyDescent="0.15">
      <c r="A84" s="77"/>
      <c r="B84" s="96"/>
      <c r="C84" s="83" t="s">
        <v>512</v>
      </c>
      <c r="D84" s="97"/>
      <c r="E84" s="88"/>
      <c r="F84" s="69"/>
      <c r="G84" s="70"/>
    </row>
    <row r="85" spans="1:8" ht="12.75" x14ac:dyDescent="0.15">
      <c r="A85" s="77"/>
      <c r="B85" s="96"/>
      <c r="C85" s="83" t="s">
        <v>513</v>
      </c>
      <c r="D85" s="97"/>
      <c r="E85" s="88"/>
      <c r="F85" s="69"/>
      <c r="G85" s="70"/>
    </row>
    <row r="86" spans="1:8" ht="12.75" x14ac:dyDescent="0.15">
      <c r="A86" s="98"/>
      <c r="B86" s="85" t="s">
        <v>514</v>
      </c>
      <c r="C86" s="83" t="s">
        <v>515</v>
      </c>
      <c r="D86" s="97"/>
      <c r="E86" s="88"/>
      <c r="F86" s="219"/>
      <c r="G86" s="220"/>
    </row>
    <row r="87" spans="1:8" ht="15" customHeight="1" x14ac:dyDescent="0.15">
      <c r="A87" s="98"/>
      <c r="B87" s="99"/>
      <c r="C87" s="83" t="s">
        <v>516</v>
      </c>
      <c r="D87" s="94" t="s">
        <v>133</v>
      </c>
      <c r="E87" s="88">
        <v>23</v>
      </c>
      <c r="F87" s="202">
        <v>144</v>
      </c>
      <c r="G87" s="202">
        <f>F87*E87</f>
        <v>3312</v>
      </c>
    </row>
    <row r="88" spans="1:8" ht="22.5" customHeight="1" x14ac:dyDescent="0.15">
      <c r="A88" s="98"/>
      <c r="B88" s="99"/>
      <c r="C88" s="83" t="s">
        <v>517</v>
      </c>
      <c r="D88" s="94"/>
      <c r="E88" s="88"/>
      <c r="F88" s="219"/>
      <c r="G88" s="220"/>
    </row>
    <row r="89" spans="1:8" ht="15" customHeight="1" x14ac:dyDescent="0.15">
      <c r="A89" s="98"/>
      <c r="B89" s="96"/>
      <c r="C89" s="83" t="s">
        <v>518</v>
      </c>
      <c r="D89" s="100"/>
      <c r="E89" s="88"/>
      <c r="F89" s="219"/>
      <c r="G89" s="220"/>
    </row>
    <row r="90" spans="1:8" ht="29.25" customHeight="1" x14ac:dyDescent="0.15">
      <c r="A90" s="98"/>
      <c r="B90" s="101"/>
      <c r="C90" s="102"/>
      <c r="D90" s="75"/>
      <c r="E90" s="87"/>
      <c r="F90" s="219"/>
      <c r="G90" s="220"/>
    </row>
    <row r="91" spans="1:8" ht="12.75" x14ac:dyDescent="0.15">
      <c r="A91" s="77"/>
      <c r="B91" s="96" t="s">
        <v>519</v>
      </c>
      <c r="C91" s="83" t="s">
        <v>520</v>
      </c>
      <c r="D91" s="97"/>
      <c r="E91" s="88"/>
      <c r="F91" s="69"/>
      <c r="G91" s="70"/>
    </row>
    <row r="92" spans="1:8" ht="12.75" x14ac:dyDescent="0.15">
      <c r="A92" s="77"/>
      <c r="B92" s="96"/>
      <c r="C92" s="83" t="s">
        <v>521</v>
      </c>
      <c r="D92" s="97"/>
      <c r="E92" s="88"/>
      <c r="F92" s="69"/>
      <c r="G92" s="70"/>
    </row>
    <row r="93" spans="1:8" ht="12.75" x14ac:dyDescent="0.15">
      <c r="A93" s="98"/>
      <c r="B93" s="85"/>
      <c r="C93" s="83" t="s">
        <v>522</v>
      </c>
      <c r="D93" s="97"/>
      <c r="E93" s="88"/>
      <c r="F93" s="219"/>
      <c r="G93" s="220"/>
    </row>
    <row r="94" spans="1:8" ht="15" customHeight="1" x14ac:dyDescent="0.15">
      <c r="A94" s="98"/>
      <c r="B94" s="99"/>
      <c r="C94" s="83" t="s">
        <v>523</v>
      </c>
      <c r="D94" s="94" t="s">
        <v>133</v>
      </c>
      <c r="E94" s="88">
        <v>23</v>
      </c>
      <c r="F94" s="202">
        <v>232</v>
      </c>
      <c r="G94" s="202">
        <f>F94*E94</f>
        <v>5336</v>
      </c>
    </row>
    <row r="95" spans="1:8" ht="22.5" customHeight="1" x14ac:dyDescent="0.15">
      <c r="A95" s="98"/>
      <c r="B95" s="99"/>
      <c r="C95" s="83" t="s">
        <v>524</v>
      </c>
      <c r="D95" s="94"/>
      <c r="E95" s="88"/>
      <c r="F95" s="219"/>
      <c r="G95" s="220"/>
    </row>
    <row r="96" spans="1:8" ht="15" customHeight="1" x14ac:dyDescent="0.15">
      <c r="A96" s="98"/>
      <c r="B96" s="96"/>
      <c r="C96" s="83" t="s">
        <v>525</v>
      </c>
      <c r="D96" s="100"/>
      <c r="E96" s="88"/>
      <c r="F96" s="219"/>
      <c r="G96" s="220"/>
    </row>
    <row r="97" spans="1:8" ht="15" customHeight="1" x14ac:dyDescent="0.15">
      <c r="A97" s="98"/>
      <c r="B97" s="96"/>
      <c r="C97" s="83"/>
      <c r="D97" s="100"/>
      <c r="E97" s="88"/>
      <c r="F97" s="219"/>
      <c r="G97" s="220"/>
    </row>
    <row r="98" spans="1:8" ht="24.75" customHeight="1" x14ac:dyDescent="0.15">
      <c r="A98" s="98"/>
      <c r="B98" s="96" t="s">
        <v>526</v>
      </c>
      <c r="C98" s="84" t="s">
        <v>527</v>
      </c>
      <c r="D98" s="103" t="s">
        <v>133</v>
      </c>
      <c r="E98" s="88">
        <v>2</v>
      </c>
      <c r="F98" s="202">
        <v>1113</v>
      </c>
      <c r="G98" s="202">
        <f>F98*E98</f>
        <v>2226</v>
      </c>
    </row>
    <row r="99" spans="1:8" ht="15" customHeight="1" x14ac:dyDescent="0.15">
      <c r="A99" s="98"/>
      <c r="B99" s="96"/>
      <c r="C99" s="83"/>
      <c r="D99" s="100"/>
      <c r="E99" s="88"/>
      <c r="F99" s="219"/>
      <c r="G99" s="220"/>
    </row>
    <row r="100" spans="1:8" ht="15" customHeight="1" x14ac:dyDescent="0.15">
      <c r="A100" s="98"/>
      <c r="B100" s="96"/>
      <c r="C100" s="83"/>
      <c r="D100" s="100"/>
      <c r="E100" s="88"/>
      <c r="F100" s="219"/>
      <c r="G100" s="220"/>
    </row>
    <row r="101" spans="1:8" ht="15" customHeight="1" x14ac:dyDescent="0.15">
      <c r="A101" s="98"/>
      <c r="B101" s="96"/>
      <c r="C101" s="83"/>
      <c r="D101" s="100"/>
      <c r="E101" s="88"/>
      <c r="F101" s="219"/>
      <c r="G101" s="220"/>
    </row>
    <row r="102" spans="1:8" ht="15" customHeight="1" x14ac:dyDescent="0.15">
      <c r="A102" s="98"/>
      <c r="B102" s="96"/>
      <c r="C102" s="83"/>
      <c r="D102" s="100"/>
      <c r="E102" s="88"/>
      <c r="F102" s="219"/>
      <c r="G102" s="220"/>
    </row>
    <row r="103" spans="1:8" ht="12.75" x14ac:dyDescent="0.15">
      <c r="A103" s="77"/>
      <c r="B103" s="89"/>
      <c r="C103" s="90"/>
      <c r="D103" s="86"/>
      <c r="E103" s="88"/>
      <c r="F103" s="69"/>
      <c r="G103" s="70"/>
    </row>
    <row r="104" spans="1:8" ht="12.75" x14ac:dyDescent="0.15">
      <c r="A104" s="77"/>
      <c r="B104" s="85" t="s">
        <v>528</v>
      </c>
      <c r="C104" s="83" t="s">
        <v>529</v>
      </c>
      <c r="D104" s="94"/>
      <c r="E104" s="88"/>
      <c r="F104" s="69"/>
      <c r="G104" s="70"/>
    </row>
    <row r="105" spans="1:8" ht="12.75" x14ac:dyDescent="0.15">
      <c r="A105" s="77"/>
      <c r="B105" s="85"/>
      <c r="C105" s="83"/>
      <c r="D105" s="94"/>
      <c r="E105" s="88"/>
      <c r="F105" s="69"/>
      <c r="G105" s="70"/>
    </row>
    <row r="106" spans="1:8" ht="12.75" x14ac:dyDescent="0.15">
      <c r="A106" s="77"/>
      <c r="B106" s="96"/>
      <c r="C106" s="83" t="s">
        <v>530</v>
      </c>
      <c r="D106" s="97"/>
      <c r="E106" s="88"/>
      <c r="F106" s="69"/>
      <c r="G106" s="70"/>
    </row>
    <row r="107" spans="1:8" ht="12.75" x14ac:dyDescent="0.15">
      <c r="A107" s="77"/>
      <c r="B107" s="96"/>
      <c r="C107" s="83" t="s">
        <v>531</v>
      </c>
      <c r="D107" s="97"/>
      <c r="E107" s="88"/>
      <c r="F107" s="69"/>
      <c r="G107" s="70"/>
    </row>
    <row r="108" spans="1:8" ht="12.75" x14ac:dyDescent="0.15">
      <c r="A108" s="77"/>
      <c r="B108" s="96"/>
      <c r="C108" s="83" t="s">
        <v>532</v>
      </c>
      <c r="D108" s="97"/>
      <c r="E108" s="88"/>
      <c r="F108" s="69"/>
      <c r="G108" s="70"/>
    </row>
    <row r="109" spans="1:8" ht="12.75" x14ac:dyDescent="0.15">
      <c r="A109" s="77"/>
      <c r="B109" s="96"/>
      <c r="C109" s="83" t="s">
        <v>533</v>
      </c>
      <c r="D109" s="97"/>
      <c r="E109" s="88"/>
      <c r="F109" s="69"/>
      <c r="G109" s="70"/>
    </row>
    <row r="110" spans="1:8" ht="12.75" x14ac:dyDescent="0.15">
      <c r="A110" s="77"/>
      <c r="B110" s="96"/>
      <c r="C110" s="83" t="s">
        <v>534</v>
      </c>
      <c r="D110" s="97"/>
      <c r="E110" s="88"/>
      <c r="F110" s="69"/>
      <c r="G110" s="70"/>
    </row>
    <row r="111" spans="1:8" ht="12.75" x14ac:dyDescent="0.15">
      <c r="A111" s="77"/>
      <c r="B111" s="96"/>
      <c r="C111" s="83" t="s">
        <v>535</v>
      </c>
      <c r="D111" s="97"/>
      <c r="E111" s="88"/>
      <c r="F111" s="69"/>
      <c r="G111" s="70"/>
    </row>
    <row r="112" spans="1:8" ht="12.75" x14ac:dyDescent="0.15">
      <c r="A112" s="77"/>
      <c r="B112" s="73"/>
      <c r="C112" s="80"/>
      <c r="D112" s="75"/>
      <c r="E112" s="87"/>
      <c r="F112" s="69"/>
      <c r="G112" s="70"/>
    </row>
    <row r="113" spans="1:8" ht="12.75" customHeight="1" x14ac:dyDescent="0.15">
      <c r="A113" s="77"/>
      <c r="B113" s="73"/>
      <c r="C113" s="78" t="s">
        <v>536</v>
      </c>
      <c r="D113" s="75" t="s">
        <v>133</v>
      </c>
      <c r="E113" s="87">
        <v>207</v>
      </c>
      <c r="F113" s="202">
        <v>44</v>
      </c>
      <c r="G113" s="202">
        <f>F113*E113</f>
        <v>9108</v>
      </c>
    </row>
    <row r="114" spans="1:8" ht="12.75" customHeight="1" x14ac:dyDescent="0.15">
      <c r="A114" s="77"/>
      <c r="B114" s="73"/>
      <c r="C114" s="78"/>
      <c r="D114" s="75"/>
      <c r="E114" s="87"/>
      <c r="F114" s="69"/>
      <c r="G114" s="70"/>
    </row>
    <row r="115" spans="1:8" ht="12.75" customHeight="1" x14ac:dyDescent="0.15">
      <c r="A115" s="77"/>
      <c r="B115" s="73"/>
      <c r="C115" s="78"/>
      <c r="D115" s="75"/>
      <c r="E115" s="87"/>
      <c r="F115" s="69"/>
      <c r="G115" s="70"/>
    </row>
    <row r="116" spans="1:8" ht="12.75" customHeight="1" x14ac:dyDescent="0.15">
      <c r="A116" s="77"/>
      <c r="B116" s="104" t="s">
        <v>537</v>
      </c>
      <c r="C116" s="83" t="s">
        <v>538</v>
      </c>
      <c r="D116" s="97"/>
      <c r="E116" s="88"/>
      <c r="F116" s="69"/>
      <c r="G116" s="70"/>
    </row>
    <row r="117" spans="1:8" ht="12.75" customHeight="1" x14ac:dyDescent="0.15">
      <c r="A117" s="77"/>
      <c r="B117" s="85"/>
      <c r="C117" s="105"/>
      <c r="D117" s="97"/>
      <c r="E117" s="88"/>
      <c r="F117" s="69"/>
      <c r="G117" s="70"/>
    </row>
    <row r="118" spans="1:8" ht="12.75" customHeight="1" x14ac:dyDescent="0.15">
      <c r="A118" s="77"/>
      <c r="B118" s="104"/>
      <c r="C118" s="83" t="s">
        <v>539</v>
      </c>
      <c r="D118" s="97"/>
      <c r="E118" s="88"/>
      <c r="F118" s="69"/>
      <c r="G118" s="70"/>
    </row>
    <row r="119" spans="1:8" ht="12.75" customHeight="1" x14ac:dyDescent="0.15">
      <c r="A119" s="77"/>
      <c r="B119" s="99"/>
      <c r="C119" s="83" t="s">
        <v>540</v>
      </c>
      <c r="D119" s="97"/>
      <c r="E119" s="88"/>
      <c r="F119" s="69"/>
      <c r="G119" s="70"/>
    </row>
    <row r="120" spans="1:8" ht="12.75" x14ac:dyDescent="0.15">
      <c r="A120" s="77"/>
      <c r="B120" s="99"/>
      <c r="C120" s="83" t="s">
        <v>541</v>
      </c>
      <c r="D120" s="106"/>
      <c r="E120" s="88"/>
      <c r="F120" s="69"/>
      <c r="G120" s="70"/>
    </row>
    <row r="121" spans="1:8" ht="15" customHeight="1" x14ac:dyDescent="0.15">
      <c r="A121" s="77"/>
      <c r="B121" s="106"/>
      <c r="C121" s="74"/>
      <c r="D121" s="86"/>
      <c r="E121" s="88"/>
      <c r="F121" s="69"/>
      <c r="G121" s="70"/>
    </row>
    <row r="122" spans="1:8" ht="15" customHeight="1" x14ac:dyDescent="0.15">
      <c r="A122" s="77"/>
      <c r="B122" s="96" t="s">
        <v>542</v>
      </c>
      <c r="C122" s="107" t="s">
        <v>543</v>
      </c>
      <c r="D122" s="86" t="s">
        <v>133</v>
      </c>
      <c r="E122" s="87">
        <v>14</v>
      </c>
      <c r="F122" s="202">
        <v>1075</v>
      </c>
      <c r="G122" s="202">
        <f>F122*E122</f>
        <v>15050</v>
      </c>
    </row>
    <row r="123" spans="1:8" ht="12.75" x14ac:dyDescent="0.15">
      <c r="A123" s="77"/>
      <c r="B123" s="89"/>
      <c r="C123" s="83"/>
      <c r="D123" s="86"/>
      <c r="E123" s="87"/>
      <c r="F123" s="69"/>
      <c r="G123" s="70"/>
    </row>
    <row r="124" spans="1:8" ht="12.75" x14ac:dyDescent="0.15">
      <c r="A124" s="77"/>
      <c r="B124" s="104" t="s">
        <v>544</v>
      </c>
      <c r="C124" s="83" t="s">
        <v>545</v>
      </c>
      <c r="D124" s="86"/>
      <c r="E124" s="87"/>
      <c r="F124" s="69"/>
      <c r="G124" s="70"/>
    </row>
    <row r="125" spans="1:8" ht="12.75" x14ac:dyDescent="0.15">
      <c r="A125" s="77"/>
      <c r="B125" s="85"/>
      <c r="C125" s="83"/>
      <c r="D125" s="86"/>
      <c r="E125" s="87"/>
      <c r="F125" s="69"/>
      <c r="G125" s="70"/>
    </row>
    <row r="126" spans="1:8" ht="15" customHeight="1" x14ac:dyDescent="0.15">
      <c r="A126" s="77"/>
      <c r="B126" s="85" t="s">
        <v>546</v>
      </c>
      <c r="C126" s="107" t="s">
        <v>547</v>
      </c>
      <c r="D126" s="86" t="s">
        <v>133</v>
      </c>
      <c r="E126" s="87">
        <v>0</v>
      </c>
      <c r="F126" s="202">
        <v>2250</v>
      </c>
      <c r="G126" s="202">
        <f>F126*E126</f>
        <v>0</v>
      </c>
    </row>
    <row r="127" spans="1:8" ht="15" customHeight="1" x14ac:dyDescent="0.15">
      <c r="A127" s="77"/>
      <c r="B127" s="85" t="s">
        <v>548</v>
      </c>
      <c r="C127" s="107" t="s">
        <v>549</v>
      </c>
      <c r="D127" s="86" t="s">
        <v>133</v>
      </c>
      <c r="E127" s="87">
        <v>2</v>
      </c>
      <c r="F127" s="202">
        <v>3500</v>
      </c>
      <c r="G127" s="202">
        <f>F127*E127</f>
        <v>7000</v>
      </c>
    </row>
    <row r="128" spans="1:8" ht="15" customHeight="1" x14ac:dyDescent="0.15">
      <c r="A128" s="77"/>
      <c r="B128" s="85" t="s">
        <v>550</v>
      </c>
      <c r="C128" s="107" t="s">
        <v>551</v>
      </c>
      <c r="D128" s="86" t="s">
        <v>133</v>
      </c>
      <c r="E128" s="87">
        <v>1</v>
      </c>
      <c r="F128" s="259">
        <v>4750</v>
      </c>
      <c r="G128" s="260">
        <f>F128*E128</f>
        <v>4750</v>
      </c>
    </row>
    <row r="129" spans="1:8" ht="15" customHeight="1" x14ac:dyDescent="0.15">
      <c r="A129" s="77"/>
      <c r="B129" s="85"/>
      <c r="C129" s="83"/>
      <c r="D129" s="86"/>
      <c r="E129" s="87"/>
      <c r="F129" s="69"/>
      <c r="G129" s="70"/>
    </row>
    <row r="130" spans="1:8" ht="15" customHeight="1" x14ac:dyDescent="0.15">
      <c r="A130" s="77"/>
      <c r="B130" s="85" t="s">
        <v>552</v>
      </c>
      <c r="C130" s="83" t="s">
        <v>553</v>
      </c>
      <c r="D130" s="86"/>
      <c r="E130" s="87"/>
      <c r="F130" s="69"/>
      <c r="G130" s="70"/>
    </row>
    <row r="131" spans="1:8" ht="12.75" x14ac:dyDescent="0.15">
      <c r="A131" s="77"/>
      <c r="B131" s="85"/>
      <c r="C131" s="83"/>
      <c r="D131" s="86"/>
      <c r="E131" s="87"/>
      <c r="F131" s="69"/>
      <c r="G131" s="70"/>
    </row>
    <row r="132" spans="1:8" ht="12.75" x14ac:dyDescent="0.15">
      <c r="A132" s="77"/>
      <c r="B132" s="85"/>
      <c r="C132" s="83"/>
      <c r="D132" s="86"/>
      <c r="E132" s="87"/>
      <c r="F132" s="69"/>
      <c r="G132" s="70"/>
    </row>
    <row r="133" spans="1:8" ht="15" customHeight="1" x14ac:dyDescent="0.15">
      <c r="A133" s="72"/>
      <c r="B133" s="85" t="s">
        <v>554</v>
      </c>
      <c r="C133" s="83" t="s">
        <v>555</v>
      </c>
      <c r="D133" s="86" t="s">
        <v>133</v>
      </c>
      <c r="E133" s="88">
        <v>1</v>
      </c>
      <c r="F133" s="202">
        <v>106250</v>
      </c>
      <c r="G133" s="202">
        <f>F133*E133</f>
        <v>106250</v>
      </c>
    </row>
    <row r="134" spans="1:8" ht="15" customHeight="1" x14ac:dyDescent="0.15">
      <c r="A134" s="72"/>
      <c r="B134" s="85"/>
      <c r="C134" s="108" t="s">
        <v>556</v>
      </c>
      <c r="D134" s="75"/>
      <c r="E134" s="88"/>
      <c r="F134" s="69"/>
      <c r="G134" s="70"/>
    </row>
    <row r="135" spans="1:8" ht="15" customHeight="1" x14ac:dyDescent="0.15">
      <c r="A135" s="77"/>
      <c r="B135" s="85"/>
      <c r="C135" s="109"/>
      <c r="D135" s="75"/>
      <c r="E135" s="88"/>
      <c r="F135" s="69"/>
      <c r="G135" s="70"/>
    </row>
    <row r="136" spans="1:8" ht="27" customHeight="1" x14ac:dyDescent="0.15">
      <c r="A136" s="77"/>
      <c r="B136" s="85" t="s">
        <v>557</v>
      </c>
      <c r="C136" s="84" t="s">
        <v>558</v>
      </c>
      <c r="D136" s="75" t="s">
        <v>133</v>
      </c>
      <c r="E136" s="88">
        <v>1</v>
      </c>
      <c r="F136" s="69"/>
      <c r="G136" s="70"/>
    </row>
    <row r="137" spans="1:8" ht="15" customHeight="1" x14ac:dyDescent="0.15">
      <c r="A137" s="77"/>
      <c r="B137" s="85"/>
      <c r="C137" s="110" t="s">
        <v>556</v>
      </c>
      <c r="D137" s="75"/>
      <c r="E137" s="88"/>
      <c r="F137" s="69"/>
      <c r="G137" s="70"/>
    </row>
    <row r="138" spans="1:8" ht="15" customHeight="1" x14ac:dyDescent="0.15">
      <c r="A138" s="77"/>
      <c r="B138" s="85"/>
      <c r="C138" s="109"/>
      <c r="D138" s="75"/>
      <c r="E138" s="88"/>
      <c r="F138" s="69"/>
      <c r="G138" s="70"/>
    </row>
    <row r="139" spans="1:8" ht="15" customHeight="1" x14ac:dyDescent="0.15">
      <c r="A139" s="77"/>
      <c r="B139" s="85" t="s">
        <v>559</v>
      </c>
      <c r="C139" s="84" t="s">
        <v>560</v>
      </c>
      <c r="D139" s="75" t="s">
        <v>133</v>
      </c>
      <c r="E139" s="88">
        <v>1</v>
      </c>
      <c r="F139" s="69"/>
      <c r="G139" s="70"/>
    </row>
    <row r="140" spans="1:8" ht="14.25" x14ac:dyDescent="0.15">
      <c r="A140" s="77"/>
      <c r="B140" s="111"/>
      <c r="C140" s="110" t="s">
        <v>561</v>
      </c>
      <c r="D140" s="97"/>
      <c r="E140" s="88"/>
      <c r="F140" s="69"/>
      <c r="G140" s="70"/>
    </row>
    <row r="141" spans="1:8" ht="14.25" x14ac:dyDescent="0.15">
      <c r="A141" s="77"/>
      <c r="B141" s="111"/>
      <c r="C141" s="109"/>
      <c r="D141" s="97"/>
      <c r="E141" s="88"/>
      <c r="F141" s="69"/>
      <c r="G141" s="70"/>
    </row>
    <row r="142" spans="1:8" ht="15" customHeight="1" x14ac:dyDescent="0.15">
      <c r="A142" s="77"/>
      <c r="B142" s="73"/>
      <c r="C142" s="112"/>
      <c r="D142" s="75"/>
      <c r="E142" s="87"/>
      <c r="F142" s="69"/>
      <c r="G142" s="70"/>
    </row>
    <row r="143" spans="1:8" ht="15" customHeight="1" x14ac:dyDescent="0.15">
      <c r="A143" s="53" t="s">
        <v>562</v>
      </c>
      <c r="B143" s="54"/>
      <c r="C143" s="55"/>
      <c r="D143" s="56"/>
      <c r="E143" s="57"/>
      <c r="F143" s="208"/>
      <c r="G143" s="209">
        <f>SUM(G12:G142)</f>
        <v>402918</v>
      </c>
    </row>
    <row r="144" spans="1:8" ht="12.75" x14ac:dyDescent="0.15"/>
    <row r="145" spans="8:8" ht="12.75" x14ac:dyDescent="0.15"/>
    <row r="146" spans="8:8" ht="12.75" x14ac:dyDescent="0.15"/>
    <row r="147" spans="8:8" ht="15" customHeight="1" x14ac:dyDescent="0.15"/>
    <row r="148" spans="8:8" ht="12.75" x14ac:dyDescent="0.15"/>
    <row r="149" spans="8:8" ht="12.75" x14ac:dyDescent="0.15"/>
    <row r="150" spans="8:8" ht="15" customHeight="1" x14ac:dyDescent="0.15"/>
    <row r="151" spans="8:8" ht="12.75" x14ac:dyDescent="0.15"/>
    <row r="152" spans="8:8" ht="12.75" x14ac:dyDescent="0.15"/>
    <row r="153" spans="8:8" ht="15" customHeight="1" x14ac:dyDescent="0.15"/>
    <row r="154" spans="8:8" ht="15" customHeight="1" x14ac:dyDescent="0.15"/>
  </sheetData>
  <sheetProtection selectLockedCells="1"/>
  <mergeCells count="5">
    <mergeCell ref="C1:D1"/>
    <mergeCell ref="A6:B6"/>
    <mergeCell ref="B33:B40"/>
    <mergeCell ref="C70:C71"/>
    <mergeCell ref="C74:C78"/>
  </mergeCells>
  <printOptions horizontalCentered="1"/>
  <pageMargins left="0.25" right="0.25" top="0.75" bottom="0.75" header="0.3" footer="0.3"/>
  <pageSetup paperSize="9" scale="86" fitToHeight="0" orientation="portrait" r:id="rId1"/>
  <headerFooter>
    <oddFooter>&amp;RPage &amp;P of &amp;N</oddFooter>
  </headerFooter>
  <rowBreaks count="3" manualBreakCount="3">
    <brk id="29" max="6" man="1"/>
    <brk id="80" max="6" man="1"/>
    <brk id="114"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1"/>
  <sheetViews>
    <sheetView view="pageBreakPreview" zoomScale="85" zoomScaleNormal="70" workbookViewId="0">
      <selection activeCell="F15" sqref="F15"/>
    </sheetView>
  </sheetViews>
  <sheetFormatPr defaultColWidth="9.16796875" defaultRowHeight="15" x14ac:dyDescent="0.2"/>
  <cols>
    <col min="1" max="2" width="9.4375" style="29" customWidth="1"/>
    <col min="3" max="3" width="48.81640625" style="29" customWidth="1"/>
    <col min="4" max="4" width="9.4375" style="29" customWidth="1"/>
    <col min="5" max="5" width="13.34765625" style="29" customWidth="1"/>
    <col min="6" max="6" width="13.75390625" style="213" customWidth="1"/>
    <col min="7" max="7" width="16.71875" style="213" customWidth="1"/>
    <col min="8" max="10" width="9.16796875" style="213"/>
    <col min="11" max="16384" width="9.16796875" style="29"/>
  </cols>
  <sheetData>
    <row r="1" spans="1:8" x14ac:dyDescent="0.2">
      <c r="A1" s="8" t="s">
        <v>0</v>
      </c>
      <c r="B1" s="8"/>
      <c r="C1" s="278" t="s">
        <v>1</v>
      </c>
      <c r="D1" s="278"/>
      <c r="E1" s="30"/>
      <c r="F1" s="191"/>
      <c r="G1" s="191"/>
    </row>
    <row r="2" spans="1:8" x14ac:dyDescent="0.2">
      <c r="A2" s="8" t="s">
        <v>2</v>
      </c>
      <c r="B2" s="8"/>
      <c r="C2" s="9" t="s">
        <v>3</v>
      </c>
      <c r="D2" s="10"/>
      <c r="E2" s="32"/>
      <c r="F2" s="191"/>
      <c r="G2" s="191"/>
    </row>
    <row r="3" spans="1:8" x14ac:dyDescent="0.2">
      <c r="A3" s="11" t="s">
        <v>4</v>
      </c>
      <c r="B3" s="11"/>
      <c r="C3" s="11"/>
      <c r="D3" s="12"/>
      <c r="E3" s="10"/>
      <c r="F3" s="195"/>
      <c r="G3" s="195"/>
    </row>
    <row r="4" spans="1:8" x14ac:dyDescent="0.2">
      <c r="A4" s="11" t="s">
        <v>5</v>
      </c>
      <c r="B4" s="11"/>
      <c r="C4" s="11" t="s">
        <v>563</v>
      </c>
      <c r="D4" s="34"/>
      <c r="E4" s="35"/>
      <c r="F4" s="195"/>
      <c r="G4" s="195"/>
    </row>
    <row r="5" spans="1:8" x14ac:dyDescent="0.2">
      <c r="A5" s="263" t="s">
        <v>7</v>
      </c>
      <c r="B5" s="279"/>
      <c r="C5" s="38" t="s">
        <v>8</v>
      </c>
      <c r="D5" s="38" t="s">
        <v>9</v>
      </c>
      <c r="E5" s="39" t="s">
        <v>10</v>
      </c>
      <c r="F5" s="197" t="s">
        <v>11</v>
      </c>
      <c r="G5" s="198" t="s">
        <v>12</v>
      </c>
    </row>
    <row r="6" spans="1:8" x14ac:dyDescent="0.2">
      <c r="A6" s="41"/>
      <c r="B6" s="41"/>
      <c r="C6" s="42"/>
      <c r="D6" s="43"/>
      <c r="E6" s="43"/>
      <c r="F6" s="215"/>
      <c r="G6" s="215"/>
    </row>
    <row r="7" spans="1:8" x14ac:dyDescent="0.2">
      <c r="A7" s="16">
        <v>10</v>
      </c>
      <c r="B7" s="16"/>
      <c r="C7" s="44" t="s">
        <v>564</v>
      </c>
      <c r="D7" s="18"/>
      <c r="E7" s="19"/>
      <c r="F7" s="187"/>
      <c r="G7" s="187"/>
    </row>
    <row r="8" spans="1:8" x14ac:dyDescent="0.2">
      <c r="A8" s="45"/>
      <c r="B8" s="46"/>
      <c r="C8" s="47"/>
      <c r="D8" s="45"/>
      <c r="E8" s="45"/>
      <c r="F8" s="224"/>
      <c r="G8" s="224"/>
    </row>
    <row r="9" spans="1:8" x14ac:dyDescent="0.2">
      <c r="A9" s="48"/>
      <c r="B9" s="48"/>
      <c r="C9" s="45"/>
      <c r="D9" s="49"/>
      <c r="E9" s="49"/>
      <c r="F9" s="225"/>
      <c r="G9" s="226"/>
    </row>
    <row r="10" spans="1:8" x14ac:dyDescent="0.2">
      <c r="A10" s="48"/>
      <c r="B10" s="48"/>
      <c r="C10" s="45"/>
      <c r="D10" s="49"/>
      <c r="E10" s="49"/>
      <c r="F10" s="225"/>
      <c r="G10" s="226"/>
    </row>
    <row r="11" spans="1:8" ht="78" customHeight="1" x14ac:dyDescent="0.2">
      <c r="A11" s="48">
        <v>10.1</v>
      </c>
      <c r="B11" s="48"/>
      <c r="C11" s="50" t="s">
        <v>565</v>
      </c>
      <c r="D11" s="282" t="s">
        <v>94</v>
      </c>
      <c r="E11" s="275">
        <v>1</v>
      </c>
      <c r="F11" s="282">
        <v>153313</v>
      </c>
      <c r="G11" s="282">
        <f>F11*E11</f>
        <v>153313</v>
      </c>
    </row>
    <row r="12" spans="1:8" ht="78" customHeight="1" x14ac:dyDescent="0.2">
      <c r="A12" s="48"/>
      <c r="B12" s="48"/>
      <c r="C12" s="50" t="s">
        <v>593</v>
      </c>
      <c r="D12" s="274"/>
      <c r="E12" s="277"/>
      <c r="F12" s="283"/>
      <c r="G12" s="283"/>
    </row>
    <row r="13" spans="1:8" x14ac:dyDescent="0.2">
      <c r="A13" s="48"/>
      <c r="B13" s="48"/>
      <c r="C13" s="45"/>
      <c r="D13" s="49"/>
      <c r="E13" s="49"/>
      <c r="F13" s="225"/>
      <c r="G13" s="226"/>
    </row>
    <row r="14" spans="1:8" ht="25.5" x14ac:dyDescent="0.2">
      <c r="A14" s="48">
        <v>10.199999999999999</v>
      </c>
      <c r="B14" s="48"/>
      <c r="C14" s="45" t="s">
        <v>566</v>
      </c>
      <c r="D14" s="49" t="s">
        <v>133</v>
      </c>
      <c r="E14" s="49">
        <v>2</v>
      </c>
      <c r="F14" s="246">
        <v>20625</v>
      </c>
      <c r="G14" s="246">
        <f>F14*E14</f>
        <v>41250</v>
      </c>
    </row>
    <row r="15" spans="1:8" x14ac:dyDescent="0.2">
      <c r="A15" s="48"/>
      <c r="B15" s="48"/>
      <c r="C15" s="45"/>
      <c r="D15" s="49"/>
      <c r="E15" s="49"/>
      <c r="F15" s="225"/>
      <c r="G15" s="226"/>
    </row>
    <row r="16" spans="1:8" ht="25.5" x14ac:dyDescent="0.2">
      <c r="A16" s="48">
        <v>10.3</v>
      </c>
      <c r="B16" s="48"/>
      <c r="C16" s="45" t="s">
        <v>567</v>
      </c>
      <c r="D16" s="49" t="s">
        <v>94</v>
      </c>
      <c r="E16" s="49">
        <v>1</v>
      </c>
      <c r="F16" s="246">
        <v>18750</v>
      </c>
      <c r="G16" s="246">
        <f>F16*E16</f>
        <v>18750</v>
      </c>
    </row>
    <row r="17" spans="1:7" x14ac:dyDescent="0.2">
      <c r="A17" s="48"/>
      <c r="B17" s="48"/>
      <c r="C17" s="45"/>
      <c r="D17" s="49"/>
      <c r="E17" s="49"/>
      <c r="F17" s="225"/>
      <c r="G17" s="226"/>
    </row>
    <row r="18" spans="1:7" x14ac:dyDescent="0.2">
      <c r="A18" s="48"/>
      <c r="B18" s="48"/>
      <c r="C18" s="45"/>
      <c r="D18" s="49"/>
      <c r="E18" s="49"/>
      <c r="F18" s="225"/>
      <c r="G18" s="226"/>
    </row>
    <row r="19" spans="1:7" ht="60.75" customHeight="1" x14ac:dyDescent="0.2">
      <c r="A19" s="48"/>
      <c r="B19" s="48"/>
      <c r="C19" s="51" t="s">
        <v>568</v>
      </c>
      <c r="D19" s="49"/>
      <c r="E19" s="49"/>
      <c r="F19" s="225"/>
      <c r="G19" s="226"/>
    </row>
    <row r="20" spans="1:7" x14ac:dyDescent="0.2">
      <c r="A20" s="48"/>
      <c r="B20" s="48"/>
      <c r="C20" s="45"/>
      <c r="D20" s="49"/>
      <c r="E20" s="52"/>
      <c r="F20" s="206"/>
      <c r="G20" s="206"/>
    </row>
    <row r="21" spans="1:7" ht="15" customHeight="1" x14ac:dyDescent="0.2">
      <c r="A21" s="53" t="s">
        <v>569</v>
      </c>
      <c r="B21" s="54"/>
      <c r="C21" s="55"/>
      <c r="D21" s="56"/>
      <c r="E21" s="57"/>
      <c r="F21" s="208"/>
      <c r="G21" s="209">
        <f>SUM(G11:G20)</f>
        <v>213313</v>
      </c>
    </row>
  </sheetData>
  <mergeCells count="6">
    <mergeCell ref="G11:G12"/>
    <mergeCell ref="C1:D1"/>
    <mergeCell ref="A5:B5"/>
    <mergeCell ref="D11:D12"/>
    <mergeCell ref="E11:E12"/>
    <mergeCell ref="F11:F12"/>
  </mergeCells>
  <pageMargins left="0.7" right="0.7" top="0.75" bottom="0.75" header="0.3" footer="0.3"/>
  <pageSetup scale="67" orientation="portrait" horizontalDpi="24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45"/>
  <sheetViews>
    <sheetView showGridLines="0" view="pageBreakPreview" zoomScaleNormal="100" workbookViewId="0">
      <selection activeCell="G28" sqref="G28"/>
    </sheetView>
  </sheetViews>
  <sheetFormatPr defaultColWidth="9.16796875" defaultRowHeight="14.25" x14ac:dyDescent="0.15"/>
  <cols>
    <col min="1" max="2" width="9.4375" style="4" customWidth="1"/>
    <col min="3" max="3" width="48.94921875" style="5" customWidth="1"/>
    <col min="4" max="4" width="14.42578125" style="6" customWidth="1"/>
    <col min="5" max="5" width="22.11328125" style="6" customWidth="1"/>
    <col min="6" max="6" width="24.40625" style="7" customWidth="1"/>
    <col min="7" max="7" width="26.4296875" style="239" customWidth="1"/>
    <col min="8" max="9" width="9.16796875" style="192"/>
    <col min="10" max="257" width="9.16796875" style="5"/>
    <col min="258" max="258" width="9.4375" style="5" customWidth="1"/>
    <col min="259" max="259" width="47.6015625" style="5" customWidth="1"/>
    <col min="260" max="260" width="14.42578125" style="5" customWidth="1"/>
    <col min="261" max="261" width="22.11328125" style="5" customWidth="1"/>
    <col min="262" max="262" width="24.40625" style="5" customWidth="1"/>
    <col min="263" max="263" width="26.4296875" style="5" customWidth="1"/>
    <col min="264" max="513" width="9.16796875" style="5"/>
    <col min="514" max="514" width="9.4375" style="5" customWidth="1"/>
    <col min="515" max="515" width="47.6015625" style="5" customWidth="1"/>
    <col min="516" max="516" width="14.42578125" style="5" customWidth="1"/>
    <col min="517" max="517" width="22.11328125" style="5" customWidth="1"/>
    <col min="518" max="518" width="24.40625" style="5" customWidth="1"/>
    <col min="519" max="519" width="26.4296875" style="5" customWidth="1"/>
    <col min="520" max="769" width="9.16796875" style="5"/>
    <col min="770" max="770" width="9.4375" style="5" customWidth="1"/>
    <col min="771" max="771" width="47.6015625" style="5" customWidth="1"/>
    <col min="772" max="772" width="14.42578125" style="5" customWidth="1"/>
    <col min="773" max="773" width="22.11328125" style="5" customWidth="1"/>
    <col min="774" max="774" width="24.40625" style="5" customWidth="1"/>
    <col min="775" max="775" width="26.4296875" style="5" customWidth="1"/>
    <col min="776" max="1025" width="9.16796875" style="5"/>
    <col min="1026" max="1026" width="9.4375" style="5" customWidth="1"/>
    <col min="1027" max="1027" width="47.6015625" style="5" customWidth="1"/>
    <col min="1028" max="1028" width="14.42578125" style="5" customWidth="1"/>
    <col min="1029" max="1029" width="22.11328125" style="5" customWidth="1"/>
    <col min="1030" max="1030" width="24.40625" style="5" customWidth="1"/>
    <col min="1031" max="1031" width="26.4296875" style="5" customWidth="1"/>
    <col min="1032" max="1281" width="9.16796875" style="5"/>
    <col min="1282" max="1282" width="9.4375" style="5" customWidth="1"/>
    <col min="1283" max="1283" width="47.6015625" style="5" customWidth="1"/>
    <col min="1284" max="1284" width="14.42578125" style="5" customWidth="1"/>
    <col min="1285" max="1285" width="22.11328125" style="5" customWidth="1"/>
    <col min="1286" max="1286" width="24.40625" style="5" customWidth="1"/>
    <col min="1287" max="1287" width="26.4296875" style="5" customWidth="1"/>
    <col min="1288" max="1537" width="9.16796875" style="5"/>
    <col min="1538" max="1538" width="9.4375" style="5" customWidth="1"/>
    <col min="1539" max="1539" width="47.6015625" style="5" customWidth="1"/>
    <col min="1540" max="1540" width="14.42578125" style="5" customWidth="1"/>
    <col min="1541" max="1541" width="22.11328125" style="5" customWidth="1"/>
    <col min="1542" max="1542" width="24.40625" style="5" customWidth="1"/>
    <col min="1543" max="1543" width="26.4296875" style="5" customWidth="1"/>
    <col min="1544" max="1793" width="9.16796875" style="5"/>
    <col min="1794" max="1794" width="9.4375" style="5" customWidth="1"/>
    <col min="1795" max="1795" width="47.6015625" style="5" customWidth="1"/>
    <col min="1796" max="1796" width="14.42578125" style="5" customWidth="1"/>
    <col min="1797" max="1797" width="22.11328125" style="5" customWidth="1"/>
    <col min="1798" max="1798" width="24.40625" style="5" customWidth="1"/>
    <col min="1799" max="1799" width="26.4296875" style="5" customWidth="1"/>
    <col min="1800" max="2049" width="9.16796875" style="5"/>
    <col min="2050" max="2050" width="9.4375" style="5" customWidth="1"/>
    <col min="2051" max="2051" width="47.6015625" style="5" customWidth="1"/>
    <col min="2052" max="2052" width="14.42578125" style="5" customWidth="1"/>
    <col min="2053" max="2053" width="22.11328125" style="5" customWidth="1"/>
    <col min="2054" max="2054" width="24.40625" style="5" customWidth="1"/>
    <col min="2055" max="2055" width="26.4296875" style="5" customWidth="1"/>
    <col min="2056" max="2305" width="9.16796875" style="5"/>
    <col min="2306" max="2306" width="9.4375" style="5" customWidth="1"/>
    <col min="2307" max="2307" width="47.6015625" style="5" customWidth="1"/>
    <col min="2308" max="2308" width="14.42578125" style="5" customWidth="1"/>
    <col min="2309" max="2309" width="22.11328125" style="5" customWidth="1"/>
    <col min="2310" max="2310" width="24.40625" style="5" customWidth="1"/>
    <col min="2311" max="2311" width="26.4296875" style="5" customWidth="1"/>
    <col min="2312" max="2561" width="9.16796875" style="5"/>
    <col min="2562" max="2562" width="9.4375" style="5" customWidth="1"/>
    <col min="2563" max="2563" width="47.6015625" style="5" customWidth="1"/>
    <col min="2564" max="2564" width="14.42578125" style="5" customWidth="1"/>
    <col min="2565" max="2565" width="22.11328125" style="5" customWidth="1"/>
    <col min="2566" max="2566" width="24.40625" style="5" customWidth="1"/>
    <col min="2567" max="2567" width="26.4296875" style="5" customWidth="1"/>
    <col min="2568" max="2817" width="9.16796875" style="5"/>
    <col min="2818" max="2818" width="9.4375" style="5" customWidth="1"/>
    <col min="2819" max="2819" width="47.6015625" style="5" customWidth="1"/>
    <col min="2820" max="2820" width="14.42578125" style="5" customWidth="1"/>
    <col min="2821" max="2821" width="22.11328125" style="5" customWidth="1"/>
    <col min="2822" max="2822" width="24.40625" style="5" customWidth="1"/>
    <col min="2823" max="2823" width="26.4296875" style="5" customWidth="1"/>
    <col min="2824" max="3073" width="9.16796875" style="5"/>
    <col min="3074" max="3074" width="9.4375" style="5" customWidth="1"/>
    <col min="3075" max="3075" width="47.6015625" style="5" customWidth="1"/>
    <col min="3076" max="3076" width="14.42578125" style="5" customWidth="1"/>
    <col min="3077" max="3077" width="22.11328125" style="5" customWidth="1"/>
    <col min="3078" max="3078" width="24.40625" style="5" customWidth="1"/>
    <col min="3079" max="3079" width="26.4296875" style="5" customWidth="1"/>
    <col min="3080" max="3329" width="9.16796875" style="5"/>
    <col min="3330" max="3330" width="9.4375" style="5" customWidth="1"/>
    <col min="3331" max="3331" width="47.6015625" style="5" customWidth="1"/>
    <col min="3332" max="3332" width="14.42578125" style="5" customWidth="1"/>
    <col min="3333" max="3333" width="22.11328125" style="5" customWidth="1"/>
    <col min="3334" max="3334" width="24.40625" style="5" customWidth="1"/>
    <col min="3335" max="3335" width="26.4296875" style="5" customWidth="1"/>
    <col min="3336" max="3585" width="9.16796875" style="5"/>
    <col min="3586" max="3586" width="9.4375" style="5" customWidth="1"/>
    <col min="3587" max="3587" width="47.6015625" style="5" customWidth="1"/>
    <col min="3588" max="3588" width="14.42578125" style="5" customWidth="1"/>
    <col min="3589" max="3589" width="22.11328125" style="5" customWidth="1"/>
    <col min="3590" max="3590" width="24.40625" style="5" customWidth="1"/>
    <col min="3591" max="3591" width="26.4296875" style="5" customWidth="1"/>
    <col min="3592" max="3841" width="9.16796875" style="5"/>
    <col min="3842" max="3842" width="9.4375" style="5" customWidth="1"/>
    <col min="3843" max="3843" width="47.6015625" style="5" customWidth="1"/>
    <col min="3844" max="3844" width="14.42578125" style="5" customWidth="1"/>
    <col min="3845" max="3845" width="22.11328125" style="5" customWidth="1"/>
    <col min="3846" max="3846" width="24.40625" style="5" customWidth="1"/>
    <col min="3847" max="3847" width="26.4296875" style="5" customWidth="1"/>
    <col min="3848" max="4097" width="9.16796875" style="5"/>
    <col min="4098" max="4098" width="9.4375" style="5" customWidth="1"/>
    <col min="4099" max="4099" width="47.6015625" style="5" customWidth="1"/>
    <col min="4100" max="4100" width="14.42578125" style="5" customWidth="1"/>
    <col min="4101" max="4101" width="22.11328125" style="5" customWidth="1"/>
    <col min="4102" max="4102" width="24.40625" style="5" customWidth="1"/>
    <col min="4103" max="4103" width="26.4296875" style="5" customWidth="1"/>
    <col min="4104" max="4353" width="9.16796875" style="5"/>
    <col min="4354" max="4354" width="9.4375" style="5" customWidth="1"/>
    <col min="4355" max="4355" width="47.6015625" style="5" customWidth="1"/>
    <col min="4356" max="4356" width="14.42578125" style="5" customWidth="1"/>
    <col min="4357" max="4357" width="22.11328125" style="5" customWidth="1"/>
    <col min="4358" max="4358" width="24.40625" style="5" customWidth="1"/>
    <col min="4359" max="4359" width="26.4296875" style="5" customWidth="1"/>
    <col min="4360" max="4609" width="9.16796875" style="5"/>
    <col min="4610" max="4610" width="9.4375" style="5" customWidth="1"/>
    <col min="4611" max="4611" width="47.6015625" style="5" customWidth="1"/>
    <col min="4612" max="4612" width="14.42578125" style="5" customWidth="1"/>
    <col min="4613" max="4613" width="22.11328125" style="5" customWidth="1"/>
    <col min="4614" max="4614" width="24.40625" style="5" customWidth="1"/>
    <col min="4615" max="4615" width="26.4296875" style="5" customWidth="1"/>
    <col min="4616" max="4865" width="9.16796875" style="5"/>
    <col min="4866" max="4866" width="9.4375" style="5" customWidth="1"/>
    <col min="4867" max="4867" width="47.6015625" style="5" customWidth="1"/>
    <col min="4868" max="4868" width="14.42578125" style="5" customWidth="1"/>
    <col min="4869" max="4869" width="22.11328125" style="5" customWidth="1"/>
    <col min="4870" max="4870" width="24.40625" style="5" customWidth="1"/>
    <col min="4871" max="4871" width="26.4296875" style="5" customWidth="1"/>
    <col min="4872" max="5121" width="9.16796875" style="5"/>
    <col min="5122" max="5122" width="9.4375" style="5" customWidth="1"/>
    <col min="5123" max="5123" width="47.6015625" style="5" customWidth="1"/>
    <col min="5124" max="5124" width="14.42578125" style="5" customWidth="1"/>
    <col min="5125" max="5125" width="22.11328125" style="5" customWidth="1"/>
    <col min="5126" max="5126" width="24.40625" style="5" customWidth="1"/>
    <col min="5127" max="5127" width="26.4296875" style="5" customWidth="1"/>
    <col min="5128" max="5377" width="9.16796875" style="5"/>
    <col min="5378" max="5378" width="9.4375" style="5" customWidth="1"/>
    <col min="5379" max="5379" width="47.6015625" style="5" customWidth="1"/>
    <col min="5380" max="5380" width="14.42578125" style="5" customWidth="1"/>
    <col min="5381" max="5381" width="22.11328125" style="5" customWidth="1"/>
    <col min="5382" max="5382" width="24.40625" style="5" customWidth="1"/>
    <col min="5383" max="5383" width="26.4296875" style="5" customWidth="1"/>
    <col min="5384" max="5633" width="9.16796875" style="5"/>
    <col min="5634" max="5634" width="9.4375" style="5" customWidth="1"/>
    <col min="5635" max="5635" width="47.6015625" style="5" customWidth="1"/>
    <col min="5636" max="5636" width="14.42578125" style="5" customWidth="1"/>
    <col min="5637" max="5637" width="22.11328125" style="5" customWidth="1"/>
    <col min="5638" max="5638" width="24.40625" style="5" customWidth="1"/>
    <col min="5639" max="5639" width="26.4296875" style="5" customWidth="1"/>
    <col min="5640" max="5889" width="9.16796875" style="5"/>
    <col min="5890" max="5890" width="9.4375" style="5" customWidth="1"/>
    <col min="5891" max="5891" width="47.6015625" style="5" customWidth="1"/>
    <col min="5892" max="5892" width="14.42578125" style="5" customWidth="1"/>
    <col min="5893" max="5893" width="22.11328125" style="5" customWidth="1"/>
    <col min="5894" max="5894" width="24.40625" style="5" customWidth="1"/>
    <col min="5895" max="5895" width="26.4296875" style="5" customWidth="1"/>
    <col min="5896" max="6145" width="9.16796875" style="5"/>
    <col min="6146" max="6146" width="9.4375" style="5" customWidth="1"/>
    <col min="6147" max="6147" width="47.6015625" style="5" customWidth="1"/>
    <col min="6148" max="6148" width="14.42578125" style="5" customWidth="1"/>
    <col min="6149" max="6149" width="22.11328125" style="5" customWidth="1"/>
    <col min="6150" max="6150" width="24.40625" style="5" customWidth="1"/>
    <col min="6151" max="6151" width="26.4296875" style="5" customWidth="1"/>
    <col min="6152" max="6401" width="9.16796875" style="5"/>
    <col min="6402" max="6402" width="9.4375" style="5" customWidth="1"/>
    <col min="6403" max="6403" width="47.6015625" style="5" customWidth="1"/>
    <col min="6404" max="6404" width="14.42578125" style="5" customWidth="1"/>
    <col min="6405" max="6405" width="22.11328125" style="5" customWidth="1"/>
    <col min="6406" max="6406" width="24.40625" style="5" customWidth="1"/>
    <col min="6407" max="6407" width="26.4296875" style="5" customWidth="1"/>
    <col min="6408" max="6657" width="9.16796875" style="5"/>
    <col min="6658" max="6658" width="9.4375" style="5" customWidth="1"/>
    <col min="6659" max="6659" width="47.6015625" style="5" customWidth="1"/>
    <col min="6660" max="6660" width="14.42578125" style="5" customWidth="1"/>
    <col min="6661" max="6661" width="22.11328125" style="5" customWidth="1"/>
    <col min="6662" max="6662" width="24.40625" style="5" customWidth="1"/>
    <col min="6663" max="6663" width="26.4296875" style="5" customWidth="1"/>
    <col min="6664" max="6913" width="9.16796875" style="5"/>
    <col min="6914" max="6914" width="9.4375" style="5" customWidth="1"/>
    <col min="6915" max="6915" width="47.6015625" style="5" customWidth="1"/>
    <col min="6916" max="6916" width="14.42578125" style="5" customWidth="1"/>
    <col min="6917" max="6917" width="22.11328125" style="5" customWidth="1"/>
    <col min="6918" max="6918" width="24.40625" style="5" customWidth="1"/>
    <col min="6919" max="6919" width="26.4296875" style="5" customWidth="1"/>
    <col min="6920" max="7169" width="9.16796875" style="5"/>
    <col min="7170" max="7170" width="9.4375" style="5" customWidth="1"/>
    <col min="7171" max="7171" width="47.6015625" style="5" customWidth="1"/>
    <col min="7172" max="7172" width="14.42578125" style="5" customWidth="1"/>
    <col min="7173" max="7173" width="22.11328125" style="5" customWidth="1"/>
    <col min="7174" max="7174" width="24.40625" style="5" customWidth="1"/>
    <col min="7175" max="7175" width="26.4296875" style="5" customWidth="1"/>
    <col min="7176" max="7425" width="9.16796875" style="5"/>
    <col min="7426" max="7426" width="9.4375" style="5" customWidth="1"/>
    <col min="7427" max="7427" width="47.6015625" style="5" customWidth="1"/>
    <col min="7428" max="7428" width="14.42578125" style="5" customWidth="1"/>
    <col min="7429" max="7429" width="22.11328125" style="5" customWidth="1"/>
    <col min="7430" max="7430" width="24.40625" style="5" customWidth="1"/>
    <col min="7431" max="7431" width="26.4296875" style="5" customWidth="1"/>
    <col min="7432" max="7681" width="9.16796875" style="5"/>
    <col min="7682" max="7682" width="9.4375" style="5" customWidth="1"/>
    <col min="7683" max="7683" width="47.6015625" style="5" customWidth="1"/>
    <col min="7684" max="7684" width="14.42578125" style="5" customWidth="1"/>
    <col min="7685" max="7685" width="22.11328125" style="5" customWidth="1"/>
    <col min="7686" max="7686" width="24.40625" style="5" customWidth="1"/>
    <col min="7687" max="7687" width="26.4296875" style="5" customWidth="1"/>
    <col min="7688" max="7937" width="9.16796875" style="5"/>
    <col min="7938" max="7938" width="9.4375" style="5" customWidth="1"/>
    <col min="7939" max="7939" width="47.6015625" style="5" customWidth="1"/>
    <col min="7940" max="7940" width="14.42578125" style="5" customWidth="1"/>
    <col min="7941" max="7941" width="22.11328125" style="5" customWidth="1"/>
    <col min="7942" max="7942" width="24.40625" style="5" customWidth="1"/>
    <col min="7943" max="7943" width="26.4296875" style="5" customWidth="1"/>
    <col min="7944" max="8193" width="9.16796875" style="5"/>
    <col min="8194" max="8194" width="9.4375" style="5" customWidth="1"/>
    <col min="8195" max="8195" width="47.6015625" style="5" customWidth="1"/>
    <col min="8196" max="8196" width="14.42578125" style="5" customWidth="1"/>
    <col min="8197" max="8197" width="22.11328125" style="5" customWidth="1"/>
    <col min="8198" max="8198" width="24.40625" style="5" customWidth="1"/>
    <col min="8199" max="8199" width="26.4296875" style="5" customWidth="1"/>
    <col min="8200" max="8449" width="9.16796875" style="5"/>
    <col min="8450" max="8450" width="9.4375" style="5" customWidth="1"/>
    <col min="8451" max="8451" width="47.6015625" style="5" customWidth="1"/>
    <col min="8452" max="8452" width="14.42578125" style="5" customWidth="1"/>
    <col min="8453" max="8453" width="22.11328125" style="5" customWidth="1"/>
    <col min="8454" max="8454" width="24.40625" style="5" customWidth="1"/>
    <col min="8455" max="8455" width="26.4296875" style="5" customWidth="1"/>
    <col min="8456" max="8705" width="9.16796875" style="5"/>
    <col min="8706" max="8706" width="9.4375" style="5" customWidth="1"/>
    <col min="8707" max="8707" width="47.6015625" style="5" customWidth="1"/>
    <col min="8708" max="8708" width="14.42578125" style="5" customWidth="1"/>
    <col min="8709" max="8709" width="22.11328125" style="5" customWidth="1"/>
    <col min="8710" max="8710" width="24.40625" style="5" customWidth="1"/>
    <col min="8711" max="8711" width="26.4296875" style="5" customWidth="1"/>
    <col min="8712" max="8961" width="9.16796875" style="5"/>
    <col min="8962" max="8962" width="9.4375" style="5" customWidth="1"/>
    <col min="8963" max="8963" width="47.6015625" style="5" customWidth="1"/>
    <col min="8964" max="8964" width="14.42578125" style="5" customWidth="1"/>
    <col min="8965" max="8965" width="22.11328125" style="5" customWidth="1"/>
    <col min="8966" max="8966" width="24.40625" style="5" customWidth="1"/>
    <col min="8967" max="8967" width="26.4296875" style="5" customWidth="1"/>
    <col min="8968" max="9217" width="9.16796875" style="5"/>
    <col min="9218" max="9218" width="9.4375" style="5" customWidth="1"/>
    <col min="9219" max="9219" width="47.6015625" style="5" customWidth="1"/>
    <col min="9220" max="9220" width="14.42578125" style="5" customWidth="1"/>
    <col min="9221" max="9221" width="22.11328125" style="5" customWidth="1"/>
    <col min="9222" max="9222" width="24.40625" style="5" customWidth="1"/>
    <col min="9223" max="9223" width="26.4296875" style="5" customWidth="1"/>
    <col min="9224" max="9473" width="9.16796875" style="5"/>
    <col min="9474" max="9474" width="9.4375" style="5" customWidth="1"/>
    <col min="9475" max="9475" width="47.6015625" style="5" customWidth="1"/>
    <col min="9476" max="9476" width="14.42578125" style="5" customWidth="1"/>
    <col min="9477" max="9477" width="22.11328125" style="5" customWidth="1"/>
    <col min="9478" max="9478" width="24.40625" style="5" customWidth="1"/>
    <col min="9479" max="9479" width="26.4296875" style="5" customWidth="1"/>
    <col min="9480" max="9729" width="9.16796875" style="5"/>
    <col min="9730" max="9730" width="9.4375" style="5" customWidth="1"/>
    <col min="9731" max="9731" width="47.6015625" style="5" customWidth="1"/>
    <col min="9732" max="9732" width="14.42578125" style="5" customWidth="1"/>
    <col min="9733" max="9733" width="22.11328125" style="5" customWidth="1"/>
    <col min="9734" max="9734" width="24.40625" style="5" customWidth="1"/>
    <col min="9735" max="9735" width="26.4296875" style="5" customWidth="1"/>
    <col min="9736" max="9985" width="9.16796875" style="5"/>
    <col min="9986" max="9986" width="9.4375" style="5" customWidth="1"/>
    <col min="9987" max="9987" width="47.6015625" style="5" customWidth="1"/>
    <col min="9988" max="9988" width="14.42578125" style="5" customWidth="1"/>
    <col min="9989" max="9989" width="22.11328125" style="5" customWidth="1"/>
    <col min="9990" max="9990" width="24.40625" style="5" customWidth="1"/>
    <col min="9991" max="9991" width="26.4296875" style="5" customWidth="1"/>
    <col min="9992" max="10241" width="9.16796875" style="5"/>
    <col min="10242" max="10242" width="9.4375" style="5" customWidth="1"/>
    <col min="10243" max="10243" width="47.6015625" style="5" customWidth="1"/>
    <col min="10244" max="10244" width="14.42578125" style="5" customWidth="1"/>
    <col min="10245" max="10245" width="22.11328125" style="5" customWidth="1"/>
    <col min="10246" max="10246" width="24.40625" style="5" customWidth="1"/>
    <col min="10247" max="10247" width="26.4296875" style="5" customWidth="1"/>
    <col min="10248" max="10497" width="9.16796875" style="5"/>
    <col min="10498" max="10498" width="9.4375" style="5" customWidth="1"/>
    <col min="10499" max="10499" width="47.6015625" style="5" customWidth="1"/>
    <col min="10500" max="10500" width="14.42578125" style="5" customWidth="1"/>
    <col min="10501" max="10501" width="22.11328125" style="5" customWidth="1"/>
    <col min="10502" max="10502" width="24.40625" style="5" customWidth="1"/>
    <col min="10503" max="10503" width="26.4296875" style="5" customWidth="1"/>
    <col min="10504" max="10753" width="9.16796875" style="5"/>
    <col min="10754" max="10754" width="9.4375" style="5" customWidth="1"/>
    <col min="10755" max="10755" width="47.6015625" style="5" customWidth="1"/>
    <col min="10756" max="10756" width="14.42578125" style="5" customWidth="1"/>
    <col min="10757" max="10757" width="22.11328125" style="5" customWidth="1"/>
    <col min="10758" max="10758" width="24.40625" style="5" customWidth="1"/>
    <col min="10759" max="10759" width="26.4296875" style="5" customWidth="1"/>
    <col min="10760" max="11009" width="9.16796875" style="5"/>
    <col min="11010" max="11010" width="9.4375" style="5" customWidth="1"/>
    <col min="11011" max="11011" width="47.6015625" style="5" customWidth="1"/>
    <col min="11012" max="11012" width="14.42578125" style="5" customWidth="1"/>
    <col min="11013" max="11013" width="22.11328125" style="5" customWidth="1"/>
    <col min="11014" max="11014" width="24.40625" style="5" customWidth="1"/>
    <col min="11015" max="11015" width="26.4296875" style="5" customWidth="1"/>
    <col min="11016" max="11265" width="9.16796875" style="5"/>
    <col min="11266" max="11266" width="9.4375" style="5" customWidth="1"/>
    <col min="11267" max="11267" width="47.6015625" style="5" customWidth="1"/>
    <col min="11268" max="11268" width="14.42578125" style="5" customWidth="1"/>
    <col min="11269" max="11269" width="22.11328125" style="5" customWidth="1"/>
    <col min="11270" max="11270" width="24.40625" style="5" customWidth="1"/>
    <col min="11271" max="11271" width="26.4296875" style="5" customWidth="1"/>
    <col min="11272" max="11521" width="9.16796875" style="5"/>
    <col min="11522" max="11522" width="9.4375" style="5" customWidth="1"/>
    <col min="11523" max="11523" width="47.6015625" style="5" customWidth="1"/>
    <col min="11524" max="11524" width="14.42578125" style="5" customWidth="1"/>
    <col min="11525" max="11525" width="22.11328125" style="5" customWidth="1"/>
    <col min="11526" max="11526" width="24.40625" style="5" customWidth="1"/>
    <col min="11527" max="11527" width="26.4296875" style="5" customWidth="1"/>
    <col min="11528" max="11777" width="9.16796875" style="5"/>
    <col min="11778" max="11778" width="9.4375" style="5" customWidth="1"/>
    <col min="11779" max="11779" width="47.6015625" style="5" customWidth="1"/>
    <col min="11780" max="11780" width="14.42578125" style="5" customWidth="1"/>
    <col min="11781" max="11781" width="22.11328125" style="5" customWidth="1"/>
    <col min="11782" max="11782" width="24.40625" style="5" customWidth="1"/>
    <col min="11783" max="11783" width="26.4296875" style="5" customWidth="1"/>
    <col min="11784" max="12033" width="9.16796875" style="5"/>
    <col min="12034" max="12034" width="9.4375" style="5" customWidth="1"/>
    <col min="12035" max="12035" width="47.6015625" style="5" customWidth="1"/>
    <col min="12036" max="12036" width="14.42578125" style="5" customWidth="1"/>
    <col min="12037" max="12037" width="22.11328125" style="5" customWidth="1"/>
    <col min="12038" max="12038" width="24.40625" style="5" customWidth="1"/>
    <col min="12039" max="12039" width="26.4296875" style="5" customWidth="1"/>
    <col min="12040" max="12289" width="9.16796875" style="5"/>
    <col min="12290" max="12290" width="9.4375" style="5" customWidth="1"/>
    <col min="12291" max="12291" width="47.6015625" style="5" customWidth="1"/>
    <col min="12292" max="12292" width="14.42578125" style="5" customWidth="1"/>
    <col min="12293" max="12293" width="22.11328125" style="5" customWidth="1"/>
    <col min="12294" max="12294" width="24.40625" style="5" customWidth="1"/>
    <col min="12295" max="12295" width="26.4296875" style="5" customWidth="1"/>
    <col min="12296" max="12545" width="9.16796875" style="5"/>
    <col min="12546" max="12546" width="9.4375" style="5" customWidth="1"/>
    <col min="12547" max="12547" width="47.6015625" style="5" customWidth="1"/>
    <col min="12548" max="12548" width="14.42578125" style="5" customWidth="1"/>
    <col min="12549" max="12549" width="22.11328125" style="5" customWidth="1"/>
    <col min="12550" max="12550" width="24.40625" style="5" customWidth="1"/>
    <col min="12551" max="12551" width="26.4296875" style="5" customWidth="1"/>
    <col min="12552" max="12801" width="9.16796875" style="5"/>
    <col min="12802" max="12802" width="9.4375" style="5" customWidth="1"/>
    <col min="12803" max="12803" width="47.6015625" style="5" customWidth="1"/>
    <col min="12804" max="12804" width="14.42578125" style="5" customWidth="1"/>
    <col min="12805" max="12805" width="22.11328125" style="5" customWidth="1"/>
    <col min="12806" max="12806" width="24.40625" style="5" customWidth="1"/>
    <col min="12807" max="12807" width="26.4296875" style="5" customWidth="1"/>
    <col min="12808" max="13057" width="9.16796875" style="5"/>
    <col min="13058" max="13058" width="9.4375" style="5" customWidth="1"/>
    <col min="13059" max="13059" width="47.6015625" style="5" customWidth="1"/>
    <col min="13060" max="13060" width="14.42578125" style="5" customWidth="1"/>
    <col min="13061" max="13061" width="22.11328125" style="5" customWidth="1"/>
    <col min="13062" max="13062" width="24.40625" style="5" customWidth="1"/>
    <col min="13063" max="13063" width="26.4296875" style="5" customWidth="1"/>
    <col min="13064" max="13313" width="9.16796875" style="5"/>
    <col min="13314" max="13314" width="9.4375" style="5" customWidth="1"/>
    <col min="13315" max="13315" width="47.6015625" style="5" customWidth="1"/>
    <col min="13316" max="13316" width="14.42578125" style="5" customWidth="1"/>
    <col min="13317" max="13317" width="22.11328125" style="5" customWidth="1"/>
    <col min="13318" max="13318" width="24.40625" style="5" customWidth="1"/>
    <col min="13319" max="13319" width="26.4296875" style="5" customWidth="1"/>
    <col min="13320" max="13569" width="9.16796875" style="5"/>
    <col min="13570" max="13570" width="9.4375" style="5" customWidth="1"/>
    <col min="13571" max="13571" width="47.6015625" style="5" customWidth="1"/>
    <col min="13572" max="13572" width="14.42578125" style="5" customWidth="1"/>
    <col min="13573" max="13573" width="22.11328125" style="5" customWidth="1"/>
    <col min="13574" max="13574" width="24.40625" style="5" customWidth="1"/>
    <col min="13575" max="13575" width="26.4296875" style="5" customWidth="1"/>
    <col min="13576" max="13825" width="9.16796875" style="5"/>
    <col min="13826" max="13826" width="9.4375" style="5" customWidth="1"/>
    <col min="13827" max="13827" width="47.6015625" style="5" customWidth="1"/>
    <col min="13828" max="13828" width="14.42578125" style="5" customWidth="1"/>
    <col min="13829" max="13829" width="22.11328125" style="5" customWidth="1"/>
    <col min="13830" max="13830" width="24.40625" style="5" customWidth="1"/>
    <col min="13831" max="13831" width="26.4296875" style="5" customWidth="1"/>
    <col min="13832" max="14081" width="9.16796875" style="5"/>
    <col min="14082" max="14082" width="9.4375" style="5" customWidth="1"/>
    <col min="14083" max="14083" width="47.6015625" style="5" customWidth="1"/>
    <col min="14084" max="14084" width="14.42578125" style="5" customWidth="1"/>
    <col min="14085" max="14085" width="22.11328125" style="5" customWidth="1"/>
    <col min="14086" max="14086" width="24.40625" style="5" customWidth="1"/>
    <col min="14087" max="14087" width="26.4296875" style="5" customWidth="1"/>
    <col min="14088" max="14337" width="9.16796875" style="5"/>
    <col min="14338" max="14338" width="9.4375" style="5" customWidth="1"/>
    <col min="14339" max="14339" width="47.6015625" style="5" customWidth="1"/>
    <col min="14340" max="14340" width="14.42578125" style="5" customWidth="1"/>
    <col min="14341" max="14341" width="22.11328125" style="5" customWidth="1"/>
    <col min="14342" max="14342" width="24.40625" style="5" customWidth="1"/>
    <col min="14343" max="14343" width="26.4296875" style="5" customWidth="1"/>
    <col min="14344" max="14593" width="9.16796875" style="5"/>
    <col min="14594" max="14594" width="9.4375" style="5" customWidth="1"/>
    <col min="14595" max="14595" width="47.6015625" style="5" customWidth="1"/>
    <col min="14596" max="14596" width="14.42578125" style="5" customWidth="1"/>
    <col min="14597" max="14597" width="22.11328125" style="5" customWidth="1"/>
    <col min="14598" max="14598" width="24.40625" style="5" customWidth="1"/>
    <col min="14599" max="14599" width="26.4296875" style="5" customWidth="1"/>
    <col min="14600" max="14849" width="9.16796875" style="5"/>
    <col min="14850" max="14850" width="9.4375" style="5" customWidth="1"/>
    <col min="14851" max="14851" width="47.6015625" style="5" customWidth="1"/>
    <col min="14852" max="14852" width="14.42578125" style="5" customWidth="1"/>
    <col min="14853" max="14853" width="22.11328125" style="5" customWidth="1"/>
    <col min="14854" max="14854" width="24.40625" style="5" customWidth="1"/>
    <col min="14855" max="14855" width="26.4296875" style="5" customWidth="1"/>
    <col min="14856" max="15105" width="9.16796875" style="5"/>
    <col min="15106" max="15106" width="9.4375" style="5" customWidth="1"/>
    <col min="15107" max="15107" width="47.6015625" style="5" customWidth="1"/>
    <col min="15108" max="15108" width="14.42578125" style="5" customWidth="1"/>
    <col min="15109" max="15109" width="22.11328125" style="5" customWidth="1"/>
    <col min="15110" max="15110" width="24.40625" style="5" customWidth="1"/>
    <col min="15111" max="15111" width="26.4296875" style="5" customWidth="1"/>
    <col min="15112" max="15361" width="9.16796875" style="5"/>
    <col min="15362" max="15362" width="9.4375" style="5" customWidth="1"/>
    <col min="15363" max="15363" width="47.6015625" style="5" customWidth="1"/>
    <col min="15364" max="15364" width="14.42578125" style="5" customWidth="1"/>
    <col min="15365" max="15365" width="22.11328125" style="5" customWidth="1"/>
    <col min="15366" max="15366" width="24.40625" style="5" customWidth="1"/>
    <col min="15367" max="15367" width="26.4296875" style="5" customWidth="1"/>
    <col min="15368" max="15617" width="9.16796875" style="5"/>
    <col min="15618" max="15618" width="9.4375" style="5" customWidth="1"/>
    <col min="15619" max="15619" width="47.6015625" style="5" customWidth="1"/>
    <col min="15620" max="15620" width="14.42578125" style="5" customWidth="1"/>
    <col min="15621" max="15621" width="22.11328125" style="5" customWidth="1"/>
    <col min="15622" max="15622" width="24.40625" style="5" customWidth="1"/>
    <col min="15623" max="15623" width="26.4296875" style="5" customWidth="1"/>
    <col min="15624" max="15873" width="9.16796875" style="5"/>
    <col min="15874" max="15874" width="9.4375" style="5" customWidth="1"/>
    <col min="15875" max="15875" width="47.6015625" style="5" customWidth="1"/>
    <col min="15876" max="15876" width="14.42578125" style="5" customWidth="1"/>
    <col min="15877" max="15877" width="22.11328125" style="5" customWidth="1"/>
    <col min="15878" max="15878" width="24.40625" style="5" customWidth="1"/>
    <col min="15879" max="15879" width="26.4296875" style="5" customWidth="1"/>
    <col min="15880" max="16129" width="9.16796875" style="5"/>
    <col min="16130" max="16130" width="9.4375" style="5" customWidth="1"/>
    <col min="16131" max="16131" width="47.6015625" style="5" customWidth="1"/>
    <col min="16132" max="16132" width="14.42578125" style="5" customWidth="1"/>
    <col min="16133" max="16133" width="22.11328125" style="5" customWidth="1"/>
    <col min="16134" max="16134" width="24.40625" style="5" customWidth="1"/>
    <col min="16135" max="16135" width="26.4296875" style="5" customWidth="1"/>
    <col min="16136" max="16384" width="9.16796875" style="5"/>
  </cols>
  <sheetData>
    <row r="1" spans="1:9" ht="21" customHeight="1" x14ac:dyDescent="0.15">
      <c r="A1" s="8" t="s">
        <v>0</v>
      </c>
      <c r="B1" s="8"/>
      <c r="C1" s="8"/>
      <c r="D1" s="278" t="s">
        <v>1</v>
      </c>
      <c r="E1" s="278"/>
      <c r="F1" s="8"/>
      <c r="G1" s="227"/>
    </row>
    <row r="2" spans="1:9" ht="22.5" customHeight="1" x14ac:dyDescent="0.15">
      <c r="A2" s="8" t="s">
        <v>2</v>
      </c>
      <c r="B2" s="8"/>
      <c r="C2" s="8"/>
      <c r="D2" s="9" t="s">
        <v>3</v>
      </c>
      <c r="E2" s="10"/>
      <c r="F2" s="8"/>
      <c r="G2" s="227"/>
    </row>
    <row r="3" spans="1:9" ht="22.5" customHeight="1" x14ac:dyDescent="0.15">
      <c r="A3" s="11" t="s">
        <v>4</v>
      </c>
      <c r="B3" s="11"/>
      <c r="C3" s="11"/>
      <c r="D3" s="11"/>
      <c r="E3" s="12"/>
      <c r="F3" s="8"/>
      <c r="G3" s="227"/>
    </row>
    <row r="4" spans="1:9" x14ac:dyDescent="0.15">
      <c r="A4" s="13"/>
      <c r="B4" s="13"/>
      <c r="C4" s="14"/>
      <c r="D4" s="13"/>
      <c r="E4" s="13"/>
      <c r="F4" s="15"/>
      <c r="G4" s="228"/>
    </row>
    <row r="5" spans="1:9" x14ac:dyDescent="0.15">
      <c r="A5" s="284" t="s">
        <v>570</v>
      </c>
      <c r="B5" s="285"/>
      <c r="C5" s="285"/>
      <c r="D5" s="285"/>
      <c r="E5" s="285"/>
      <c r="F5" s="285"/>
      <c r="G5" s="286"/>
    </row>
    <row r="6" spans="1:9" s="1" customFormat="1" x14ac:dyDescent="0.15">
      <c r="A6" s="290" t="s">
        <v>571</v>
      </c>
      <c r="B6" s="291"/>
      <c r="C6" s="287" t="s">
        <v>8</v>
      </c>
      <c r="D6" s="288" t="s">
        <v>9</v>
      </c>
      <c r="E6" s="287" t="s">
        <v>10</v>
      </c>
      <c r="F6" s="289" t="s">
        <v>572</v>
      </c>
      <c r="G6" s="229" t="s">
        <v>573</v>
      </c>
    </row>
    <row r="7" spans="1:9" s="1" customFormat="1" ht="17.25" customHeight="1" x14ac:dyDescent="0.15">
      <c r="A7" s="292"/>
      <c r="B7" s="293"/>
      <c r="C7" s="287"/>
      <c r="D7" s="288"/>
      <c r="E7" s="287"/>
      <c r="F7" s="289"/>
      <c r="G7" s="231" t="s">
        <v>574</v>
      </c>
    </row>
    <row r="8" spans="1:9" x14ac:dyDescent="0.15">
      <c r="A8" s="16"/>
      <c r="B8" s="16"/>
      <c r="C8" s="17"/>
      <c r="D8" s="18"/>
      <c r="E8" s="19"/>
      <c r="F8" s="20"/>
      <c r="G8" s="187"/>
    </row>
    <row r="9" spans="1:9" s="2" customFormat="1" x14ac:dyDescent="0.15">
      <c r="A9" s="16">
        <v>1</v>
      </c>
      <c r="B9" s="16"/>
      <c r="C9" s="17" t="s">
        <v>13</v>
      </c>
      <c r="D9" s="18" t="s">
        <v>575</v>
      </c>
      <c r="E9" s="19" t="s">
        <v>575</v>
      </c>
      <c r="F9" s="20" t="s">
        <v>575</v>
      </c>
      <c r="G9" s="232">
        <f>'Div.1.A'!$G$25</f>
        <v>369927</v>
      </c>
    </row>
    <row r="10" spans="1:9" x14ac:dyDescent="0.15">
      <c r="A10" s="16"/>
      <c r="B10" s="16"/>
      <c r="C10" s="17"/>
      <c r="D10" s="18"/>
      <c r="E10" s="19"/>
      <c r="F10" s="20"/>
      <c r="G10" s="234"/>
    </row>
    <row r="11" spans="1:9" s="2" customFormat="1" x14ac:dyDescent="0.15">
      <c r="A11" s="16">
        <v>2</v>
      </c>
      <c r="B11" s="16"/>
      <c r="C11" s="17" t="s">
        <v>32</v>
      </c>
      <c r="D11" s="18" t="s">
        <v>575</v>
      </c>
      <c r="E11" s="19" t="s">
        <v>575</v>
      </c>
      <c r="F11" s="20" t="s">
        <v>575</v>
      </c>
      <c r="G11" s="232">
        <f>'Div.2.A'!$G$42</f>
        <v>1264374</v>
      </c>
    </row>
    <row r="12" spans="1:9" s="2" customFormat="1" x14ac:dyDescent="0.15">
      <c r="A12" s="16"/>
      <c r="B12" s="16"/>
      <c r="C12" s="17"/>
      <c r="D12" s="18"/>
      <c r="E12" s="19"/>
      <c r="F12" s="20"/>
      <c r="G12" s="235"/>
    </row>
    <row r="13" spans="1:9" s="2" customFormat="1" x14ac:dyDescent="0.15">
      <c r="A13" s="16">
        <v>3</v>
      </c>
      <c r="B13" s="16"/>
      <c r="C13" s="22" t="s">
        <v>52</v>
      </c>
      <c r="D13" s="18" t="s">
        <v>575</v>
      </c>
      <c r="E13" s="19" t="s">
        <v>575</v>
      </c>
      <c r="F13" s="20" t="s">
        <v>575</v>
      </c>
      <c r="G13" s="232">
        <f>'Div.3.A'!$G$25</f>
        <v>340510</v>
      </c>
    </row>
    <row r="14" spans="1:9" s="2" customFormat="1" x14ac:dyDescent="0.15">
      <c r="A14" s="16"/>
      <c r="B14" s="16"/>
      <c r="C14" s="22"/>
      <c r="D14" s="18"/>
      <c r="E14" s="19"/>
      <c r="F14" s="20"/>
      <c r="G14" s="236"/>
    </row>
    <row r="15" spans="1:9" x14ac:dyDescent="0.15">
      <c r="A15" s="16">
        <v>4</v>
      </c>
      <c r="B15" s="16"/>
      <c r="C15" s="17" t="s">
        <v>60</v>
      </c>
      <c r="D15" s="18" t="s">
        <v>575</v>
      </c>
      <c r="E15" s="19" t="s">
        <v>575</v>
      </c>
      <c r="F15" s="20" t="s">
        <v>575</v>
      </c>
      <c r="G15" s="232">
        <f>'Div.4.A'!$G$33</f>
        <v>969180</v>
      </c>
    </row>
    <row r="16" spans="1:9" x14ac:dyDescent="0.15">
      <c r="A16" s="16"/>
      <c r="B16" s="16"/>
      <c r="C16" s="17"/>
      <c r="D16" s="18"/>
      <c r="E16" s="19"/>
      <c r="F16" s="20"/>
      <c r="G16" s="236"/>
    </row>
    <row r="17" spans="1:9" s="1" customFormat="1" ht="15" customHeight="1" x14ac:dyDescent="0.15">
      <c r="A17" s="16">
        <v>5</v>
      </c>
      <c r="B17" s="16"/>
      <c r="C17" s="23" t="s">
        <v>576</v>
      </c>
      <c r="D17" s="18" t="s">
        <v>575</v>
      </c>
      <c r="E17" s="19" t="s">
        <v>575</v>
      </c>
      <c r="F17" s="20" t="s">
        <v>575</v>
      </c>
      <c r="G17" s="232">
        <f>'Div.5.A'!$G$30</f>
        <v>327697</v>
      </c>
    </row>
    <row r="18" spans="1:9" s="1" customFormat="1" ht="15" customHeight="1" x14ac:dyDescent="0.15">
      <c r="A18" s="16"/>
      <c r="B18" s="16"/>
      <c r="C18" s="23"/>
      <c r="D18" s="18"/>
      <c r="E18" s="19"/>
      <c r="F18" s="20"/>
      <c r="G18" s="236"/>
    </row>
    <row r="19" spans="1:9" s="1" customFormat="1" ht="15" customHeight="1" x14ac:dyDescent="0.15">
      <c r="A19" s="16">
        <v>6</v>
      </c>
      <c r="B19" s="16"/>
      <c r="C19" s="23" t="s">
        <v>105</v>
      </c>
      <c r="D19" s="18" t="s">
        <v>575</v>
      </c>
      <c r="E19" s="19" t="s">
        <v>575</v>
      </c>
      <c r="F19" s="20" t="s">
        <v>575</v>
      </c>
      <c r="G19" s="232">
        <f>'Div.6.A'!$G$33</f>
        <v>500680</v>
      </c>
    </row>
    <row r="20" spans="1:9" s="1" customFormat="1" ht="15" customHeight="1" x14ac:dyDescent="0.15">
      <c r="A20" s="16"/>
      <c r="B20" s="16"/>
      <c r="C20" s="23"/>
      <c r="D20" s="18"/>
      <c r="E20" s="19"/>
      <c r="F20" s="20"/>
      <c r="G20" s="232"/>
    </row>
    <row r="21" spans="1:9" s="1" customFormat="1" ht="15" customHeight="1" x14ac:dyDescent="0.15">
      <c r="A21" s="16">
        <v>7</v>
      </c>
      <c r="B21" s="16"/>
      <c r="C21" s="23" t="s">
        <v>577</v>
      </c>
      <c r="D21" s="18" t="s">
        <v>575</v>
      </c>
      <c r="E21" s="19" t="s">
        <v>575</v>
      </c>
      <c r="F21" s="20" t="s">
        <v>575</v>
      </c>
      <c r="G21" s="232">
        <f>'Div.7.A'!$G$135</f>
        <v>291045</v>
      </c>
    </row>
    <row r="22" spans="1:9" s="1" customFormat="1" ht="15" customHeight="1" x14ac:dyDescent="0.15">
      <c r="A22" s="16"/>
      <c r="B22" s="16"/>
      <c r="C22" s="23"/>
      <c r="D22" s="18"/>
      <c r="E22" s="19"/>
      <c r="F22" s="20"/>
      <c r="G22" s="232"/>
    </row>
    <row r="23" spans="1:9" s="1" customFormat="1" ht="15" customHeight="1" x14ac:dyDescent="0.15">
      <c r="A23" s="16">
        <v>8</v>
      </c>
      <c r="B23" s="16"/>
      <c r="C23" s="23" t="s">
        <v>578</v>
      </c>
      <c r="D23" s="18" t="s">
        <v>575</v>
      </c>
      <c r="E23" s="19" t="s">
        <v>575</v>
      </c>
      <c r="F23" s="20" t="s">
        <v>575</v>
      </c>
      <c r="G23" s="232">
        <f>'Div.8.A'!$G$239</f>
        <v>772801</v>
      </c>
    </row>
    <row r="24" spans="1:9" s="1" customFormat="1" ht="15" customHeight="1" x14ac:dyDescent="0.15">
      <c r="A24" s="16"/>
      <c r="B24" s="16"/>
      <c r="C24" s="23"/>
      <c r="D24" s="18"/>
      <c r="E24" s="19"/>
      <c r="F24" s="20"/>
      <c r="G24" s="232"/>
    </row>
    <row r="25" spans="1:9" s="1" customFormat="1" ht="15" customHeight="1" x14ac:dyDescent="0.15">
      <c r="A25" s="16">
        <v>9</v>
      </c>
      <c r="B25" s="16"/>
      <c r="C25" s="23" t="s">
        <v>469</v>
      </c>
      <c r="D25" s="18" t="s">
        <v>575</v>
      </c>
      <c r="E25" s="19" t="s">
        <v>575</v>
      </c>
      <c r="F25" s="20" t="s">
        <v>575</v>
      </c>
      <c r="G25" s="232">
        <f>'Div.9.A'!$G$143</f>
        <v>402918</v>
      </c>
    </row>
    <row r="26" spans="1:9" s="1" customFormat="1" ht="15" customHeight="1" x14ac:dyDescent="0.15">
      <c r="A26" s="16"/>
      <c r="B26" s="16"/>
      <c r="C26" s="23"/>
      <c r="D26" s="18"/>
      <c r="E26" s="19"/>
      <c r="F26" s="20"/>
      <c r="G26" s="232"/>
    </row>
    <row r="27" spans="1:9" s="1" customFormat="1" ht="15" customHeight="1" x14ac:dyDescent="0.15">
      <c r="A27" s="16">
        <v>10</v>
      </c>
      <c r="B27" s="16"/>
      <c r="C27" s="183" t="s">
        <v>584</v>
      </c>
      <c r="D27" s="18" t="s">
        <v>575</v>
      </c>
      <c r="E27" s="19" t="s">
        <v>575</v>
      </c>
      <c r="F27" s="20" t="s">
        <v>575</v>
      </c>
      <c r="G27" s="232">
        <f>'Div.10.A'!$G$21</f>
        <v>213313</v>
      </c>
    </row>
    <row r="28" spans="1:9" s="1" customFormat="1" ht="15" customHeight="1" x14ac:dyDescent="0.15">
      <c r="A28" s="16"/>
      <c r="B28" s="16"/>
      <c r="C28" s="23"/>
      <c r="D28" s="18"/>
      <c r="E28" s="19"/>
      <c r="F28" s="20"/>
      <c r="G28" s="232"/>
    </row>
    <row r="29" spans="1:9" x14ac:dyDescent="0.15">
      <c r="A29" s="24"/>
      <c r="B29" s="24"/>
      <c r="C29" s="25" t="s">
        <v>579</v>
      </c>
      <c r="D29" s="26"/>
      <c r="E29" s="27"/>
      <c r="F29" s="28"/>
      <c r="G29" s="237">
        <f>SUM(G9:G28)</f>
        <v>5452445</v>
      </c>
    </row>
    <row r="30" spans="1:9" x14ac:dyDescent="0.15">
      <c r="A30" s="3"/>
      <c r="B30" s="3"/>
      <c r="C30" s="3"/>
      <c r="D30" s="3"/>
      <c r="E30" s="3"/>
      <c r="F30" s="3"/>
      <c r="G30" s="238"/>
    </row>
    <row r="33" spans="1:9" s="3" customFormat="1" x14ac:dyDescent="0.15">
      <c r="A33" s="4"/>
      <c r="B33" s="4"/>
      <c r="C33" s="5"/>
      <c r="D33" s="6"/>
      <c r="E33" s="6"/>
      <c r="F33" s="7"/>
      <c r="G33" s="239"/>
    </row>
    <row r="34" spans="1:9" s="3" customFormat="1" x14ac:dyDescent="0.15">
      <c r="A34" s="4"/>
      <c r="B34" s="4"/>
      <c r="C34" s="5"/>
      <c r="D34" s="6"/>
      <c r="E34" s="6"/>
      <c r="F34" s="7"/>
      <c r="G34" s="239"/>
    </row>
    <row r="35" spans="1:9" ht="32.85" customHeight="1" x14ac:dyDescent="0.15"/>
    <row r="36" spans="1:9" ht="16.5" customHeight="1" x14ac:dyDescent="0.15"/>
    <row r="37" spans="1:9" s="3" customFormat="1" ht="18" customHeight="1" x14ac:dyDescent="0.15">
      <c r="A37" s="4"/>
      <c r="B37" s="4"/>
      <c r="C37" s="5"/>
      <c r="D37" s="6"/>
      <c r="E37" s="6"/>
      <c r="F37" s="7"/>
      <c r="G37" s="239"/>
    </row>
    <row r="38" spans="1:9" s="3" customFormat="1" ht="18" customHeight="1" x14ac:dyDescent="0.15">
      <c r="A38" s="4"/>
      <c r="B38" s="4"/>
      <c r="C38" s="5"/>
      <c r="D38" s="6"/>
      <c r="E38" s="6"/>
      <c r="F38" s="7"/>
      <c r="G38" s="239"/>
    </row>
    <row r="39" spans="1:9" s="3" customFormat="1" ht="17.25" customHeight="1" x14ac:dyDescent="0.15">
      <c r="A39" s="4"/>
      <c r="B39" s="4"/>
      <c r="C39" s="5"/>
      <c r="D39" s="6"/>
      <c r="E39" s="6"/>
      <c r="F39" s="7"/>
      <c r="G39" s="239"/>
    </row>
    <row r="40" spans="1:9" s="3" customFormat="1" ht="18" customHeight="1" x14ac:dyDescent="0.15">
      <c r="A40" s="4"/>
      <c r="B40" s="4"/>
      <c r="C40" s="5"/>
      <c r="D40" s="6"/>
      <c r="E40" s="6"/>
      <c r="F40" s="7"/>
      <c r="G40" s="239"/>
    </row>
    <row r="41" spans="1:9" s="3" customFormat="1" ht="17.25" customHeight="1" x14ac:dyDescent="0.15">
      <c r="A41" s="4"/>
      <c r="B41" s="4"/>
      <c r="C41" s="5"/>
      <c r="D41" s="6"/>
      <c r="E41" s="6"/>
      <c r="F41" s="7"/>
      <c r="G41" s="239"/>
    </row>
    <row r="42" spans="1:9" s="3" customFormat="1" ht="17.25" customHeight="1" x14ac:dyDescent="0.15">
      <c r="A42" s="4"/>
      <c r="B42" s="4"/>
      <c r="C42" s="5"/>
      <c r="D42" s="6"/>
      <c r="E42" s="6"/>
      <c r="F42" s="7"/>
      <c r="G42" s="239"/>
    </row>
    <row r="43" spans="1:9" s="3" customFormat="1" ht="17.25" customHeight="1" x14ac:dyDescent="0.15">
      <c r="A43" s="4"/>
      <c r="B43" s="4"/>
      <c r="C43" s="5"/>
      <c r="D43" s="6"/>
      <c r="E43" s="6"/>
      <c r="F43" s="7"/>
      <c r="G43" s="239"/>
    </row>
    <row r="44" spans="1:9" s="3" customFormat="1" ht="17.25" customHeight="1" x14ac:dyDescent="0.15">
      <c r="A44" s="4"/>
      <c r="B44" s="4"/>
      <c r="C44" s="5"/>
      <c r="D44" s="6"/>
      <c r="E44" s="6"/>
      <c r="F44" s="7"/>
      <c r="G44" s="239"/>
    </row>
    <row r="45" spans="1:9" ht="18" customHeight="1" x14ac:dyDescent="0.15"/>
  </sheetData>
  <sheetProtection formatCells="0" formatColumns="0" formatRows="0" insertColumns="0" insertRows="0" insertHyperlinks="0" deleteColumns="0" deleteRows="0" sort="0" autoFilter="0" pivotTables="0"/>
  <mergeCells count="7">
    <mergeCell ref="D1:E1"/>
    <mergeCell ref="A5:G5"/>
    <mergeCell ref="C6:C7"/>
    <mergeCell ref="D6:D7"/>
    <mergeCell ref="E6:E7"/>
    <mergeCell ref="F6:F7"/>
    <mergeCell ref="A6:B7"/>
  </mergeCells>
  <printOptions horizontalCentered="1"/>
  <pageMargins left="0.23622047244094499" right="0.23622047244094499" top="0.511811023622047" bottom="0.511811023622047" header="0.511811023622047" footer="0.35433070866141703"/>
  <pageSetup paperSize="9" scale="90" orientation="landscape" useFirstPageNumber="1" horizontalDpi="1200" verticalDpi="1200" r:id="rId1"/>
  <headerFooter alignWithMargins="0">
    <oddFooter>&amp;C&amp;A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AB0580B4-50A7-4090-8D2C-00370BBD0B77}">
  <ds:schemaRef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Div.1.A</vt:lpstr>
      <vt:lpstr>Div.2.A</vt:lpstr>
      <vt:lpstr>Div.3.A</vt:lpstr>
      <vt:lpstr>Div.4.A</vt:lpstr>
      <vt:lpstr>Div.5.A</vt:lpstr>
      <vt:lpstr>Div.6.A</vt:lpstr>
      <vt:lpstr>Div.7.A</vt:lpstr>
      <vt:lpstr>Div.8.A</vt:lpstr>
      <vt:lpstr>Div.9.A</vt:lpstr>
      <vt:lpstr>Div.10.A</vt:lpstr>
      <vt:lpstr>SUMMARY</vt:lpstr>
      <vt:lpstr>Div.1.A!Print_Area</vt:lpstr>
      <vt:lpstr>Div.10.A!Print_Area</vt:lpstr>
      <vt:lpstr>Div.2.A!Print_Area</vt:lpstr>
      <vt:lpstr>Div.3.A!Print_Area</vt:lpstr>
      <vt:lpstr>Div.4.A!Print_Area</vt:lpstr>
      <vt:lpstr>Div.5.A!Print_Area</vt:lpstr>
      <vt:lpstr>Div.6.A!Print_Area</vt:lpstr>
      <vt:lpstr>Div.7.A!Print_Area</vt:lpstr>
      <vt:lpstr>Div.8.A!Print_Area</vt:lpstr>
      <vt:lpstr>Div.9.A!Print_Area</vt:lpstr>
      <vt:lpstr>SUMMARY!Print_Area</vt:lpstr>
      <vt:lpstr>Div.7.A!Print_Titles</vt:lpstr>
      <vt:lpstr>Div.8.A!Print_Titles</vt:lpstr>
      <vt:lpstr>Div.9.A!Print_Titles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Junid</dc:creator>
  <cp:lastModifiedBy>nasreldin samy</cp:lastModifiedBy>
  <dcterms:created xsi:type="dcterms:W3CDTF">2026-03-05T10:55:00Z</dcterms:created>
  <dcterms:modified xsi:type="dcterms:W3CDTF">2026-09-15T16:44:26Z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130F3907E9374984B5269596EA47060D_12</vt:lpwstr>
  </property>
  <property fmtid="{D5CDD505-2E9C-101B-9397-08002B2CF9AE}" pid="3" name="KSOProductBuildVer">
    <vt:lpwstr>1033-12.1.0.28032</vt:lpwstr>
  </property>
  <property fmtid="{D5CDD505-2E9C-101B-9397-08002B2CF9AE}" pid="4" name="CalculationRule">
    <vt:i4>0</vt:i4>
  </property>
  <property fmtid="{D5CDD505-2E9C-101B-9397-08002B2CF9AE}" pid="5" name="PlanSwiftJobName">
    <vt:lpwstr/>
  </property>
  <property fmtid="{D5CDD505-2E9C-101B-9397-08002B2CF9AE}" pid="6" name="PlanSwiftJobGuid">
    <vt:lpwstr/>
  </property>
  <property fmtid="{D5CDD505-2E9C-101B-9397-08002B2CF9AE}" pid="7" name="LinkedDataId">
    <vt:lpwstr>{AB0580B4-50A7-4090-8D2C-00370BBD0B77}</vt:lpwstr>
  </property>
</Properties>
</file>