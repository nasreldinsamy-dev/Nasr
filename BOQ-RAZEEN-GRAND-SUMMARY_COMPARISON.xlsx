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OVEMENT DETAIL" sheetId="2" state="visible" r:id="rId2"/>
  </sheets>
  <definedNames>
    <definedName name="_xlnm.Print_Area" localSheetId="0">'COMPARISON'!$A$1:$K$28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%;-0.00%;0.00%"/>
  </numFmts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CE4E4"/>
      </patternFill>
    </fill>
    <fill>
      <patternFill patternType="solid">
        <fgColor rgb="FFE6F2E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164" fontId="1" fillId="3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right" vertical="center"/>
    </xf>
    <xf numFmtId="164" fontId="1" fillId="4" borderId="1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center" vertical="center"/>
    </xf>
    <xf numFmtId="3" fontId="1" fillId="5" borderId="2" applyAlignment="1" pivotButton="0" quotePrefix="0" xfId="0">
      <alignment horizontal="right" vertical="center"/>
    </xf>
    <xf numFmtId="164" fontId="1" fillId="5" borderId="2" applyAlignment="1" pivotButton="0" quotePrefix="0" xfId="0">
      <alignment horizontal="right" vertical="center"/>
    </xf>
    <xf numFmtId="0" fontId="0" fillId="0" borderId="1" pivotButton="0" quotePrefix="0" xfId="0"/>
    <xf numFmtId="165" fontId="1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0" fillId="5" borderId="2" pivotButton="0" quotePrefix="0" xfId="0"/>
    <xf numFmtId="0" fontId="1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4" customWidth="1" min="5" max="5"/>
    <col width="15" customWidth="1" min="6" max="6"/>
    <col width="15" customWidth="1" min="7" max="7"/>
    <col width="14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Project:</t>
        </is>
      </c>
      <c r="C1" s="2" t="inlineStr">
        <is>
          <t>Commercial building - RAZEEN (Buildings A &amp; B)</t>
        </is>
      </c>
    </row>
    <row r="2">
      <c r="A2" s="1" t="inlineStr">
        <is>
          <t>Location:</t>
        </is>
      </c>
      <c r="C2" s="2" t="inlineStr">
        <is>
          <t>Al-DAMMAM , KSA</t>
        </is>
      </c>
    </row>
    <row r="4" ht="24" customHeight="1">
      <c r="A4" s="3" t="inlineStr">
        <is>
          <t>COMPARISON  -  PREVIOUS GRAND SUMMARY  vs  REVISED GRAND SUMMARY</t>
        </is>
      </c>
    </row>
    <row r="6" ht="20" customHeight="1">
      <c r="A6" s="4" t="inlineStr">
        <is>
          <t>Item No.</t>
        </is>
      </c>
      <c r="B6" s="5" t="inlineStr">
        <is>
          <t>Description</t>
        </is>
      </c>
      <c r="C6" s="5" t="inlineStr">
        <is>
          <t>BUILDING A</t>
        </is>
      </c>
      <c r="D6" s="6" t="n"/>
      <c r="E6" s="6" t="n"/>
      <c r="F6" s="5" t="inlineStr">
        <is>
          <t>BUILDING B</t>
        </is>
      </c>
      <c r="G6" s="6" t="n"/>
      <c r="H6" s="6" t="n"/>
      <c r="I6" s="5" t="inlineStr">
        <is>
          <t>TOTAL  (A + B)</t>
        </is>
      </c>
      <c r="J6" s="6" t="n"/>
      <c r="K6" s="6" t="n"/>
    </row>
    <row r="7" ht="20" customHeight="1">
      <c r="C7" s="5" t="inlineStr">
        <is>
          <t>Previous</t>
        </is>
      </c>
      <c r="D7" s="5" t="inlineStr">
        <is>
          <t>Revised</t>
        </is>
      </c>
      <c r="E7" s="5" t="inlineStr">
        <is>
          <t>Difference</t>
        </is>
      </c>
      <c r="F7" s="5" t="inlineStr">
        <is>
          <t>Previous</t>
        </is>
      </c>
      <c r="G7" s="5" t="inlineStr">
        <is>
          <t>Revised</t>
        </is>
      </c>
      <c r="H7" s="5" t="inlineStr">
        <is>
          <t>Difference</t>
        </is>
      </c>
      <c r="I7" s="5" t="inlineStr">
        <is>
          <t>Previous</t>
        </is>
      </c>
      <c r="J7" s="5" t="inlineStr">
        <is>
          <t>Revised</t>
        </is>
      </c>
      <c r="K7" s="5" t="inlineStr">
        <is>
          <t>Difference</t>
        </is>
      </c>
    </row>
    <row r="9" ht="22" customHeight="1">
      <c r="A9" s="7" t="n">
        <v>1</v>
      </c>
      <c r="B9" s="8" t="inlineStr">
        <is>
          <t>EARTHWORKS</t>
        </is>
      </c>
      <c r="C9" s="9" t="n">
        <v>427998</v>
      </c>
      <c r="D9" s="9" t="n">
        <v>477843</v>
      </c>
      <c r="E9" s="10">
        <f>D9-C9</f>
        <v/>
      </c>
      <c r="F9" s="9" t="n">
        <v>380748</v>
      </c>
      <c r="G9" s="9" t="n">
        <v>413493</v>
      </c>
      <c r="H9" s="10">
        <f>G9-F9</f>
        <v/>
      </c>
      <c r="I9" s="9">
        <f>C9+F9</f>
        <v/>
      </c>
      <c r="J9" s="9">
        <f>D9+G9</f>
        <v/>
      </c>
      <c r="K9" s="10">
        <f>J9-I9</f>
        <v/>
      </c>
    </row>
    <row r="10" ht="22" customHeight="1">
      <c r="A10" s="7" t="n">
        <v>2</v>
      </c>
      <c r="B10" s="8" t="inlineStr">
        <is>
          <t>CIVIL WORKS</t>
        </is>
      </c>
      <c r="C10" s="9" t="n">
        <v>1264374</v>
      </c>
      <c r="D10" s="9" t="n">
        <v>1264374</v>
      </c>
      <c r="E10" s="11">
        <f>D10-C10</f>
        <v/>
      </c>
      <c r="F10" s="9" t="n">
        <v>1151760</v>
      </c>
      <c r="G10" s="9" t="n">
        <v>1151760</v>
      </c>
      <c r="H10" s="11">
        <f>G10-F10</f>
        <v/>
      </c>
      <c r="I10" s="9">
        <f>C10+F10</f>
        <v/>
      </c>
      <c r="J10" s="9">
        <f>D10+G10</f>
        <v/>
      </c>
      <c r="K10" s="11">
        <f>J10-I10</f>
        <v/>
      </c>
    </row>
    <row r="11" ht="22" customHeight="1">
      <c r="A11" s="7" t="n">
        <v>3</v>
      </c>
      <c r="B11" s="8" t="inlineStr">
        <is>
          <t>MASONRY</t>
        </is>
      </c>
      <c r="C11" s="9" t="n">
        <v>340510</v>
      </c>
      <c r="D11" s="9" t="n">
        <v>340510</v>
      </c>
      <c r="E11" s="11">
        <f>D11-C11</f>
        <v/>
      </c>
      <c r="F11" s="9" t="n">
        <v>538282</v>
      </c>
      <c r="G11" s="9" t="n">
        <v>538282</v>
      </c>
      <c r="H11" s="11">
        <f>G11-F11</f>
        <v/>
      </c>
      <c r="I11" s="9">
        <f>C11+F11</f>
        <v/>
      </c>
      <c r="J11" s="9">
        <f>D11+G11</f>
        <v/>
      </c>
      <c r="K11" s="11">
        <f>J11-I11</f>
        <v/>
      </c>
    </row>
    <row r="12" ht="22" customHeight="1">
      <c r="A12" s="7" t="n">
        <v>4</v>
      </c>
      <c r="B12" s="8" t="inlineStr">
        <is>
          <t>ARCHITECTURAL WORKS</t>
        </is>
      </c>
      <c r="C12" s="9" t="n">
        <v>1486245</v>
      </c>
      <c r="D12" s="9" t="n">
        <v>969180</v>
      </c>
      <c r="E12" s="12">
        <f>D12-C12</f>
        <v/>
      </c>
      <c r="F12" s="9" t="n">
        <v>1119104</v>
      </c>
      <c r="G12" s="9" t="n">
        <v>1063790</v>
      </c>
      <c r="H12" s="12">
        <f>G12-F12</f>
        <v/>
      </c>
      <c r="I12" s="9">
        <f>C12+F12</f>
        <v/>
      </c>
      <c r="J12" s="9">
        <f>D12+G12</f>
        <v/>
      </c>
      <c r="K12" s="12">
        <f>J12-I12</f>
        <v/>
      </c>
    </row>
    <row r="13" ht="22" customHeight="1">
      <c r="A13" s="7" t="n">
        <v>5</v>
      </c>
      <c r="B13" s="8" t="inlineStr">
        <is>
          <t>THERMAL &amp; MOISTURE PROTECTION</t>
        </is>
      </c>
      <c r="C13" s="9" t="n">
        <v>327697</v>
      </c>
      <c r="D13" s="9" t="n">
        <v>327697</v>
      </c>
      <c r="E13" s="11">
        <f>D13-C13</f>
        <v/>
      </c>
      <c r="F13" s="9" t="n">
        <v>206637</v>
      </c>
      <c r="G13" s="9" t="n">
        <v>206637</v>
      </c>
      <c r="H13" s="11">
        <f>G13-F13</f>
        <v/>
      </c>
      <c r="I13" s="9">
        <f>C13+F13</f>
        <v/>
      </c>
      <c r="J13" s="9">
        <f>D13+G13</f>
        <v/>
      </c>
      <c r="K13" s="11">
        <f>J13-I13</f>
        <v/>
      </c>
    </row>
    <row r="14" ht="22" customHeight="1">
      <c r="A14" s="7" t="n">
        <v>6</v>
      </c>
      <c r="B14" s="8" t="inlineStr">
        <is>
          <t>DOORS &amp; WINDOWS</t>
        </is>
      </c>
      <c r="C14" s="9" t="n">
        <v>557696</v>
      </c>
      <c r="D14" s="9" t="n">
        <v>500680</v>
      </c>
      <c r="E14" s="12">
        <f>D14-C14</f>
        <v/>
      </c>
      <c r="F14" s="9" t="n">
        <v>856189</v>
      </c>
      <c r="G14" s="9" t="n">
        <v>713108</v>
      </c>
      <c r="H14" s="12">
        <f>G14-F14</f>
        <v/>
      </c>
      <c r="I14" s="9">
        <f>C14+F14</f>
        <v/>
      </c>
      <c r="J14" s="9">
        <f>D14+G14</f>
        <v/>
      </c>
      <c r="K14" s="12">
        <f>J14-I14</f>
        <v/>
      </c>
    </row>
    <row r="15" ht="22" customHeight="1">
      <c r="A15" s="7" t="n">
        <v>7</v>
      </c>
      <c r="B15" s="8" t="inlineStr">
        <is>
          <t>PLUMBING</t>
        </is>
      </c>
      <c r="C15" s="9" t="n">
        <v>277599</v>
      </c>
      <c r="D15" s="9" t="n">
        <v>291045</v>
      </c>
      <c r="E15" s="10">
        <f>D15-C15</f>
        <v/>
      </c>
      <c r="F15" s="9" t="n">
        <v>311406</v>
      </c>
      <c r="G15" s="9" t="n">
        <v>323601</v>
      </c>
      <c r="H15" s="10">
        <f>G15-F15</f>
        <v/>
      </c>
      <c r="I15" s="9">
        <f>C15+F15</f>
        <v/>
      </c>
      <c r="J15" s="9">
        <f>D15+G15</f>
        <v/>
      </c>
      <c r="K15" s="10">
        <f>J15-I15</f>
        <v/>
      </c>
    </row>
    <row r="16" ht="22" customHeight="1">
      <c r="A16" s="7" t="n">
        <v>8</v>
      </c>
      <c r="B16" s="8" t="inlineStr">
        <is>
          <t>ELECTRICAL</t>
        </is>
      </c>
      <c r="C16" s="9" t="n">
        <v>1026039</v>
      </c>
      <c r="D16" s="9" t="n">
        <v>990095</v>
      </c>
      <c r="E16" s="12">
        <f>D16-C16</f>
        <v/>
      </c>
      <c r="F16" s="9" t="n">
        <v>866237</v>
      </c>
      <c r="G16" s="9" t="n">
        <v>840457</v>
      </c>
      <c r="H16" s="12">
        <f>G16-F16</f>
        <v/>
      </c>
      <c r="I16" s="9">
        <f>C16+F16</f>
        <v/>
      </c>
      <c r="J16" s="9">
        <f>D16+G16</f>
        <v/>
      </c>
      <c r="K16" s="12">
        <f>J16-I16</f>
        <v/>
      </c>
    </row>
    <row r="17" ht="22" customHeight="1">
      <c r="A17" s="7" t="n">
        <v>9</v>
      </c>
      <c r="B17" s="8" t="inlineStr">
        <is>
          <t>FIRE PROTECTION SYSTEM</t>
        </is>
      </c>
      <c r="C17" s="9" t="n">
        <v>397204</v>
      </c>
      <c r="D17" s="9" t="n">
        <v>402918</v>
      </c>
      <c r="E17" s="10">
        <f>D17-C17</f>
        <v/>
      </c>
      <c r="F17" s="9" t="n">
        <v>406692</v>
      </c>
      <c r="G17" s="9" t="n">
        <v>407656</v>
      </c>
      <c r="H17" s="10">
        <f>G17-F17</f>
        <v/>
      </c>
      <c r="I17" s="9">
        <f>C17+F17</f>
        <v/>
      </c>
      <c r="J17" s="9">
        <f>D17+G17</f>
        <v/>
      </c>
      <c r="K17" s="10">
        <f>J17-I17</f>
        <v/>
      </c>
    </row>
    <row r="18" ht="22" customHeight="1">
      <c r="A18" s="7" t="n">
        <v>10</v>
      </c>
      <c r="B18" s="8" t="inlineStr">
        <is>
          <t>METAL WORKS / STEEL STRUCTURE ERECTION</t>
        </is>
      </c>
      <c r="C18" s="9" t="n">
        <v>157983</v>
      </c>
      <c r="D18" s="9" t="n">
        <v>213313</v>
      </c>
      <c r="E18" s="10">
        <f>D18-C18</f>
        <v/>
      </c>
      <c r="F18" s="9" t="n">
        <v>119250</v>
      </c>
      <c r="G18" s="9" t="n">
        <v>175500</v>
      </c>
      <c r="H18" s="10">
        <f>G18-F18</f>
        <v/>
      </c>
      <c r="I18" s="9">
        <f>C18+F18</f>
        <v/>
      </c>
      <c r="J18" s="9">
        <f>D18+G18</f>
        <v/>
      </c>
      <c r="K18" s="10">
        <f>J18-I18</f>
        <v/>
      </c>
    </row>
    <row r="19" ht="26" customHeight="1">
      <c r="A19" s="13" t="inlineStr"/>
      <c r="B19" s="14" t="inlineStr">
        <is>
          <t>GRAND TOTAL ESTIMATED CONTRACT PRICE</t>
        </is>
      </c>
      <c r="C19" s="15">
        <f>SUM(C9:C18)</f>
        <v/>
      </c>
      <c r="D19" s="15">
        <f>SUM(D9:D18)</f>
        <v/>
      </c>
      <c r="E19" s="16">
        <f>SUM(E9:E18)</f>
        <v/>
      </c>
      <c r="F19" s="15">
        <f>SUM(F9:F18)</f>
        <v/>
      </c>
      <c r="G19" s="15">
        <f>SUM(G9:G18)</f>
        <v/>
      </c>
      <c r="H19" s="16">
        <f>SUM(H9:H18)</f>
        <v/>
      </c>
      <c r="I19" s="15">
        <f>SUM(I9:I18)</f>
        <v/>
      </c>
      <c r="J19" s="15">
        <f>SUM(J9:J18)</f>
        <v/>
      </c>
      <c r="K19" s="16">
        <f>SUM(K9:K18)</f>
        <v/>
      </c>
    </row>
    <row r="20">
      <c r="A20" s="17" t="n"/>
      <c r="B20" s="7" t="inlineStr">
        <is>
          <t>Variance %</t>
        </is>
      </c>
      <c r="C20" s="17" t="n"/>
      <c r="D20" s="17" t="n"/>
      <c r="E20" s="18">
        <f>IF(C19=0,0,E19/C19)</f>
        <v/>
      </c>
      <c r="F20" s="17" t="n"/>
      <c r="G20" s="17" t="n"/>
      <c r="H20" s="18">
        <f>IF(F19=0,0,H19/F19)</f>
        <v/>
      </c>
      <c r="I20" s="17" t="n"/>
      <c r="J20" s="17" t="n"/>
      <c r="K20" s="18">
        <f>IF(I19=0,0,K19/I19)</f>
        <v/>
      </c>
    </row>
    <row r="22">
      <c r="A22" s="19" t="inlineStr">
        <is>
          <t>How to read this sheet:</t>
        </is>
      </c>
    </row>
    <row r="23">
      <c r="A23" s="20" t="inlineStr">
        <is>
          <t>"Previous"  =  the earlier grand summary workbook (BOQ-RAZEEN-GRAND-SUMMARY-AB).</t>
        </is>
      </c>
    </row>
    <row r="24">
      <c r="A24" s="20" t="inlineStr">
        <is>
          <t>"Revised"   =  the current grand summary, built from BOQ-RAZEEN-A REV 02 (rates aligned to Building B) and BOQ-RAZEEN-B REV 02 (29-08-2026).</t>
        </is>
      </c>
    </row>
    <row r="25">
      <c r="A25" s="19" t="inlineStr">
        <is>
          <t>The movement has three separate causes, itemised on the "MOVEMENT DETAIL" sheet:</t>
        </is>
      </c>
    </row>
    <row r="26">
      <c r="A26" s="20" t="inlineStr">
        <is>
          <t xml:space="preserve">   (a)  two calculation errors in the previous grand summary,</t>
        </is>
      </c>
    </row>
    <row r="27">
      <c r="A27" s="20" t="inlineStr">
        <is>
          <t xml:space="preserve">   (b)  quantity and rate revisions already present in the current BOQ files, for both buildings,</t>
        </is>
      </c>
    </row>
    <row r="28">
      <c r="A28" s="20" t="inlineStr">
        <is>
          <t xml:space="preserve">   (c)  the alignment of Building A unit rates to the Building B rates (Building A only).</t>
        </is>
      </c>
    </row>
  </sheetData>
  <mergeCells count="13">
    <mergeCell ref="A22:K22"/>
    <mergeCell ref="F6:H6"/>
    <mergeCell ref="A4:K4"/>
    <mergeCell ref="A26:K26"/>
    <mergeCell ref="A27:K27"/>
    <mergeCell ref="A25:K25"/>
    <mergeCell ref="A24:K24"/>
    <mergeCell ref="A28:K28"/>
    <mergeCell ref="A6:A7"/>
    <mergeCell ref="B6:B7"/>
    <mergeCell ref="A23:K23"/>
    <mergeCell ref="C6:E6"/>
    <mergeCell ref="I6:K6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6" customWidth="1" min="3" max="3"/>
    <col hidden="1" width="17" customWidth="1" min="4" max="4"/>
    <col hidden="1" width="17" customWidth="1" min="5" max="5"/>
    <col width="15" customWidth="1" min="6" max="6"/>
  </cols>
  <sheetData>
    <row r="1" ht="24" customHeight="1">
      <c r="A1" s="3" t="inlineStr">
        <is>
          <t>MOVEMENT DETAIL  -  WHY EACH DIVISION CHANGED</t>
        </is>
      </c>
    </row>
    <row r="3" ht="22" customHeight="1">
      <c r="A3" s="4" t="inlineStr">
        <is>
          <t>Div.</t>
        </is>
      </c>
      <c r="B3" s="4" t="inlineStr">
        <is>
          <t>Building</t>
        </is>
      </c>
      <c r="C3" s="4" t="inlineStr">
        <is>
          <t>Reason for the movement</t>
        </is>
      </c>
      <c r="D3" s="4" t="inlineStr">
        <is>
          <t>Previous</t>
        </is>
      </c>
      <c r="E3" s="4" t="inlineStr">
        <is>
          <t>Revised</t>
        </is>
      </c>
      <c r="F3" s="4" t="inlineStr">
        <is>
          <t>Difference</t>
        </is>
      </c>
    </row>
    <row r="4" ht="32" customHeight="1">
      <c r="A4" s="7" t="n">
        <v>1</v>
      </c>
      <c r="B4" s="7" t="inlineStr">
        <is>
          <t>A</t>
        </is>
      </c>
      <c r="C4" s="21" t="inlineStr">
        <is>
          <t>Total row of Div.1 summed G15:G21 only - the subbase layer (42,750) and the anti-termite treatment (7,095) were left out of the division total</t>
        </is>
      </c>
      <c r="D4" s="17" t="n"/>
      <c r="E4" s="17" t="n"/>
      <c r="F4" s="10" t="n">
        <v>49845</v>
      </c>
    </row>
    <row r="5" ht="32" customHeight="1">
      <c r="A5" s="7" t="n">
        <v>1</v>
      </c>
      <c r="B5" s="7" t="inlineStr">
        <is>
          <t>B</t>
        </is>
      </c>
      <c r="C5" s="21" t="inlineStr">
        <is>
          <t>Same truncated total row - subbase layer (25,650) and anti-termite treatment (7,095) left out</t>
        </is>
      </c>
      <c r="D5" s="17" t="n"/>
      <c r="E5" s="17" t="n"/>
      <c r="F5" s="10" t="n">
        <v>32745</v>
      </c>
    </row>
    <row r="6" ht="32" customHeight="1">
      <c r="A6" s="7" t="n">
        <v>4</v>
      </c>
      <c r="B6" s="7" t="inlineStr">
        <is>
          <t>A</t>
        </is>
      </c>
      <c r="C6" s="21" t="inlineStr">
        <is>
          <t>GRC facades: quantity revised in the BOQ, 840 -&gt; 375 Sq.M</t>
        </is>
      </c>
      <c r="D6" s="17" t="n"/>
      <c r="E6" s="17" t="n"/>
      <c r="F6" s="12" t="n">
        <v>-436170</v>
      </c>
    </row>
    <row r="7" ht="32" customHeight="1">
      <c r="A7" s="7" t="n">
        <v>4</v>
      </c>
      <c r="B7" s="7" t="inlineStr">
        <is>
          <t>A</t>
        </is>
      </c>
      <c r="C7" s="21" t="inlineStr">
        <is>
          <t>GRC facades: rate aligned to Building B, 938 -&gt; 813 SAR/Sq.M</t>
        </is>
      </c>
      <c r="D7" s="17" t="n"/>
      <c r="E7" s="17" t="n"/>
      <c r="F7" s="12" t="n">
        <v>-46875</v>
      </c>
    </row>
    <row r="8" ht="32" customHeight="1">
      <c r="A8" s="7" t="n">
        <v>4</v>
      </c>
      <c r="B8" s="7" t="inlineStr">
        <is>
          <t>A</t>
        </is>
      </c>
      <c r="C8" s="21" t="inlineStr">
        <is>
          <t>External stone cladding: rate aligned to Building B, 371 -&gt; 290 SAR/Sq.M</t>
        </is>
      </c>
      <c r="D8" s="17" t="n"/>
      <c r="E8" s="17" t="n"/>
      <c r="F8" s="12" t="n">
        <v>-34020</v>
      </c>
    </row>
    <row r="9" ht="32" customHeight="1">
      <c r="A9" s="7" t="n">
        <v>4</v>
      </c>
      <c r="B9" s="7" t="inlineStr">
        <is>
          <t>B</t>
        </is>
      </c>
      <c r="C9" s="21" t="inlineStr">
        <is>
          <t>GRC facades: rate revised in BOQ REV 02, 938 -&gt; 813 SAR/Sq.M</t>
        </is>
      </c>
      <c r="D9" s="17" t="n"/>
      <c r="E9" s="17" t="n"/>
      <c r="F9" s="12" t="n">
        <v>-51750</v>
      </c>
    </row>
    <row r="10" ht="32" customHeight="1">
      <c r="A10" s="7" t="n">
        <v>4</v>
      </c>
      <c r="B10" s="7" t="inlineStr">
        <is>
          <t>B</t>
        </is>
      </c>
      <c r="C10" s="21" t="inlineStr">
        <is>
          <t>External stone cladding: rate revised in BOQ REV 02, 371 -&gt; 290 SAR/Sq.M</t>
        </is>
      </c>
      <c r="D10" s="17" t="n"/>
      <c r="E10" s="17" t="n"/>
      <c r="F10" s="12" t="n">
        <v>-3564</v>
      </c>
    </row>
    <row r="11" ht="32" customHeight="1">
      <c r="A11" s="7" t="n">
        <v>6</v>
      </c>
      <c r="B11" s="7" t="inlineStr">
        <is>
          <t>A</t>
        </is>
      </c>
      <c r="C11" s="21" t="inlineStr">
        <is>
          <t>(D/W03) 10800x6500 glass door: rate corrected in the BOQ file</t>
        </is>
      </c>
      <c r="D11" s="17" t="n"/>
      <c r="E11" s="17" t="n"/>
      <c r="F11" s="10" t="n">
        <v>40163</v>
      </c>
    </row>
    <row r="12" ht="32" customHeight="1">
      <c r="A12" s="7" t="n">
        <v>6</v>
      </c>
      <c r="B12" s="7" t="inlineStr">
        <is>
          <t>A</t>
        </is>
      </c>
      <c r="C12" s="21" t="inlineStr">
        <is>
          <t>(D/W01), (D/W02), (D/W03), (D/W04) and (W01): rate aligned to Building B, 850 / 800 -&gt; 650 SAR/Sq.M</t>
        </is>
      </c>
      <c r="D12" s="17" t="n"/>
      <c r="E12" s="17" t="n"/>
      <c r="F12" s="12" t="n">
        <v>-97179</v>
      </c>
    </row>
    <row r="13" ht="32" customHeight="1">
      <c r="A13" s="7" t="n">
        <v>6</v>
      </c>
      <c r="B13" s="7" t="inlineStr">
        <is>
          <t>B</t>
        </is>
      </c>
      <c r="C13" s="21" t="inlineStr">
        <is>
          <t>(D/W1) to (D/W5): rates revised in BOQ REV 02 down to 650 SAR/Sq.M, and (D/W5) quantity 20 -&gt; 21</t>
        </is>
      </c>
      <c r="D13" s="17" t="n"/>
      <c r="E13" s="17" t="n"/>
      <c r="F13" s="12" t="n">
        <v>-143081</v>
      </c>
    </row>
    <row r="14" ht="32" customHeight="1">
      <c r="A14" s="7" t="n">
        <v>7</v>
      </c>
      <c r="B14" s="7" t="inlineStr">
        <is>
          <t>A</t>
        </is>
      </c>
      <c r="C14" s="21" t="inlineStr">
        <is>
          <t>Roof drain 110mm: quantity revised 1 -&gt; 17 NO</t>
        </is>
      </c>
      <c r="D14" s="17" t="n"/>
      <c r="E14" s="17" t="n"/>
      <c r="F14" s="10" t="n">
        <v>13008</v>
      </c>
    </row>
    <row r="15" ht="32" customHeight="1">
      <c r="A15" s="7" t="n">
        <v>7</v>
      </c>
      <c r="B15" s="7" t="inlineStr">
        <is>
          <t>A</t>
        </is>
      </c>
      <c r="C15" s="21" t="inlineStr">
        <is>
          <t>110mm PVC clean out: item priced in the current BOQ (was blank)</t>
        </is>
      </c>
      <c r="D15" s="17" t="n"/>
      <c r="E15" s="17" t="n"/>
      <c r="F15" s="10" t="n">
        <v>438</v>
      </c>
    </row>
    <row r="16" ht="32" customHeight="1">
      <c r="A16" s="7" t="n">
        <v>7</v>
      </c>
      <c r="B16" s="7" t="inlineStr">
        <is>
          <t>B</t>
        </is>
      </c>
      <c r="C16" s="21" t="inlineStr">
        <is>
          <t>Roof drain 110mm: quantity revised 2 -&gt; 17 NO</t>
        </is>
      </c>
      <c r="D16" s="17" t="n"/>
      <c r="E16" s="17" t="n"/>
      <c r="F16" s="10" t="n">
        <v>12195</v>
      </c>
    </row>
    <row r="17" ht="32" customHeight="1">
      <c r="A17" s="7" t="n">
        <v>8</v>
      </c>
      <c r="B17" s="7" t="inlineStr">
        <is>
          <t>A</t>
        </is>
      </c>
      <c r="C17" s="21" t="inlineStr">
        <is>
          <t>Power cables 2x(4C-300), 4C-95 and 4C-185: rates revised in the BOQ</t>
        </is>
      </c>
      <c r="D17" s="17" t="n"/>
      <c r="E17" s="17" t="n"/>
      <c r="F17" s="12" t="n">
        <v>-21466</v>
      </c>
    </row>
    <row r="18" ht="32" customHeight="1">
      <c r="A18" s="7" t="n">
        <v>8</v>
      </c>
      <c r="B18" s="7" t="inlineStr">
        <is>
          <t>A</t>
        </is>
      </c>
      <c r="C18" s="21" t="inlineStr">
        <is>
          <t>Cable 4C-50mm2+1x35mm2G: rate aligned to Building B, 199 -&gt; 180 SAR/LM</t>
        </is>
      </c>
      <c r="D18" s="17" t="n"/>
      <c r="E18" s="17" t="n"/>
      <c r="F18" s="12" t="n">
        <v>-14478</v>
      </c>
    </row>
    <row r="19" ht="32" customHeight="1">
      <c r="A19" s="7" t="n">
        <v>8</v>
      </c>
      <c r="B19" s="7" t="inlineStr">
        <is>
          <t>A</t>
        </is>
      </c>
      <c r="C19" s="21" t="inlineStr">
        <is>
          <t>24 CH network video recorder: the 8 hard disks were dropped in the BOQ file and have been restored to match Building B - no net change vs the previous summary</t>
        </is>
      </c>
      <c r="D19" s="17" t="n"/>
      <c r="E19" s="17" t="n"/>
      <c r="F19" s="11" t="n">
        <v>0</v>
      </c>
    </row>
    <row r="20" ht="32" customHeight="1">
      <c r="A20" s="7" t="n">
        <v>8</v>
      </c>
      <c r="B20" s="7" t="inlineStr">
        <is>
          <t>B</t>
        </is>
      </c>
      <c r="C20" s="21" t="inlineStr">
        <is>
          <t>Power cables 4C-95, 4C-185 and 4C-50: rates revised in BOQ REV 02</t>
        </is>
      </c>
      <c r="D20" s="17" t="n"/>
      <c r="E20" s="17" t="n"/>
      <c r="F20" s="12" t="n">
        <v>-25780</v>
      </c>
    </row>
    <row r="21" ht="32" customHeight="1">
      <c r="A21" s="7" t="n">
        <v>9</v>
      </c>
      <c r="B21" s="7" t="inlineStr">
        <is>
          <t>A</t>
        </is>
      </c>
      <c r="C21" s="21" t="inlineStr">
        <is>
          <t>Addressable smoke detector (482 x 2) and 6 inch alarm check valve (4,750) priced in the current BOQ</t>
        </is>
      </c>
      <c r="D21" s="17" t="n"/>
      <c r="E21" s="17" t="n"/>
      <c r="F21" s="10" t="n">
        <v>5714</v>
      </c>
    </row>
    <row r="22" ht="32" customHeight="1">
      <c r="A22" s="7" t="n">
        <v>9</v>
      </c>
      <c r="B22" s="7" t="inlineStr">
        <is>
          <t>B</t>
        </is>
      </c>
      <c r="C22" s="21" t="inlineStr">
        <is>
          <t>Addressable smoke detector priced in the current BOQ, 482 x 2</t>
        </is>
      </c>
      <c r="D22" s="17" t="n"/>
      <c r="E22" s="17" t="n"/>
      <c r="F22" s="10" t="n">
        <v>964</v>
      </c>
    </row>
    <row r="23" ht="32" customHeight="1">
      <c r="A23" s="7" t="n">
        <v>10</v>
      </c>
      <c r="B23" s="7" t="inlineStr">
        <is>
          <t>A</t>
        </is>
      </c>
      <c r="C23" s="21" t="inlineStr">
        <is>
          <t>Metal stair ladder: rate revised 385 -&gt; 20,625 SAR, and metal CNC facade 650 -&gt; 18,750 SAR</t>
        </is>
      </c>
      <c r="D23" s="17" t="n"/>
      <c r="E23" s="17" t="n"/>
      <c r="F23" s="10" t="n">
        <v>58580</v>
      </c>
    </row>
    <row r="24" ht="32" customHeight="1">
      <c r="A24" s="7" t="n">
        <v>10</v>
      </c>
      <c r="B24" s="7" t="inlineStr">
        <is>
          <t>A</t>
        </is>
      </c>
      <c r="C24" s="21" t="inlineStr">
        <is>
          <t>Previous summary carried a hard-typed total of 3,900 for the CNC facade instead of rate x quantity (650 x 1)</t>
        </is>
      </c>
      <c r="D24" s="17" t="n"/>
      <c r="E24" s="17" t="n"/>
      <c r="F24" s="12" t="n">
        <v>-3250</v>
      </c>
    </row>
    <row r="25" ht="32" customHeight="1">
      <c r="A25" s="7" t="n">
        <v>10</v>
      </c>
      <c r="B25" s="7" t="inlineStr">
        <is>
          <t>B</t>
        </is>
      </c>
      <c r="C25" s="21" t="inlineStr">
        <is>
          <t>Metal stair ladder: rate revised 1,875 -&gt; 20,625 SAR</t>
        </is>
      </c>
      <c r="D25" s="17" t="n"/>
      <c r="E25" s="17" t="n"/>
      <c r="F25" s="10" t="n">
        <v>56250</v>
      </c>
    </row>
    <row r="26" ht="26" customHeight="1">
      <c r="A26" s="22" t="n"/>
      <c r="B26" s="22" t="n"/>
      <c r="C26" s="23" t="inlineStr">
        <is>
          <t>NET MOVEMENT (matches the COMPARISON sheet)</t>
        </is>
      </c>
      <c r="D26" s="22" t="n"/>
      <c r="E26" s="22" t="n"/>
      <c r="F26" s="16">
        <f>SUM(F4:F25)</f>
        <v/>
      </c>
    </row>
    <row r="28">
      <c r="A28" s="20" t="inlineStr">
        <is>
          <t>ERR  = calculation error in the previous grand summary.</t>
        </is>
      </c>
    </row>
    <row r="29">
      <c r="A29" s="20" t="inlineStr">
        <is>
          <t>QTY  = quantity revised in the BOQ files.</t>
        </is>
      </c>
    </row>
    <row r="30">
      <c r="A30" s="20" t="inlineStr">
        <is>
          <t>RATE = unit rate revised in the BOQ files, or aligned between the two buildings.</t>
        </is>
      </c>
    </row>
    <row r="31">
      <c r="A31" s="20" t="inlineStr">
        <is>
          <t>NEW  = item that carried no price in the previous summary and is priced now.</t>
        </is>
      </c>
    </row>
  </sheetData>
  <mergeCells count="5">
    <mergeCell ref="A28:F28"/>
    <mergeCell ref="A1:F1"/>
    <mergeCell ref="A31:F31"/>
    <mergeCell ref="A30:F30"/>
    <mergeCell ref="A29:F2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2026-09-15T19:27:15Z</dcterms:created>
  <dcterms:modified xsi:type="dcterms:W3CDTF">2026-09-15T19:27:15Z</dcterms:modified>
</cp:coreProperties>
</file>